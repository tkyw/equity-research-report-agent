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1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kyw/Library/Mobile Documents/com~apple~CloudDocs/Documents/personal/Investment/"/>
    </mc:Choice>
  </mc:AlternateContent>
  <xr:revisionPtr revIDLastSave="0" documentId="13_ncr:1_{F2142378-4F71-564A-AF3A-E585D3219409}" xr6:coauthVersionLast="47" xr6:coauthVersionMax="47" xr10:uidLastSave="{00000000-0000-0000-0000-000000000000}"/>
  <bookViews>
    <workbookView xWindow="0" yWindow="780" windowWidth="34200" windowHeight="21360" activeTab="1" xr2:uid="{00000000-000D-0000-FFFF-FFFF00000000}"/>
  </bookViews>
  <sheets>
    <sheet name="Analysis" sheetId="5" r:id="rId1"/>
    <sheet name="Modelling" sheetId="1" r:id="rId2"/>
    <sheet name="Supporting Schedule" sheetId="2" r:id="rId3"/>
    <sheet name="Drivers, Assumptions, Analysis" sheetId="3" r:id="rId4"/>
    <sheet name="Valuation" sheetId="4" r:id="rId5"/>
  </sheets>
  <definedNames>
    <definedName name="_xlchart.v1.10" hidden="1">Modelling!$D$191:$K$191</definedName>
    <definedName name="_xlchart.v1.11" hidden="1">Modelling!$D$192:$K$192</definedName>
    <definedName name="_xlchart.v1.12" hidden="1">Modelling!$D$193:$K$193</definedName>
    <definedName name="_xlchart.v1.13" hidden="1">Modelling!$D$194:$K$194</definedName>
    <definedName name="_xlchart.v1.7" hidden="1">Modelling!$B$192</definedName>
    <definedName name="_xlchart.v1.8" hidden="1">Modelling!$B$193</definedName>
    <definedName name="_xlchart.v1.9" hidden="1">Modelling!$B$194</definedName>
    <definedName name="_xlchart.v2.0" hidden="1">Modelling!$B$192</definedName>
    <definedName name="_xlchart.v2.1" hidden="1">Modelling!$B$193</definedName>
    <definedName name="_xlchart.v2.2" hidden="1">Modelling!$B$194</definedName>
    <definedName name="_xlchart.v2.3" hidden="1">Modelling!$D$191:$K$191</definedName>
    <definedName name="_xlchart.v2.4" hidden="1">Modelling!$D$192:$K$192</definedName>
    <definedName name="_xlchart.v2.5" hidden="1">Modelling!$D$193:$K$193</definedName>
    <definedName name="_xlchart.v2.6" hidden="1">Modelling!$D$194:$K$194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97" i="1" l="1"/>
  <c r="F197" i="1"/>
  <c r="E175" i="1"/>
  <c r="F175" i="1" s="1"/>
  <c r="G175" i="1" s="1"/>
  <c r="I175" i="1" s="1"/>
  <c r="J175" i="1" s="1"/>
  <c r="K175" i="1" s="1"/>
  <c r="L175" i="1" s="1"/>
  <c r="H92" i="1"/>
  <c r="H84" i="1"/>
  <c r="H71" i="1"/>
  <c r="H58" i="1"/>
  <c r="I25" i="1"/>
  <c r="H30" i="1"/>
  <c r="H33" i="1"/>
  <c r="H34" i="1" s="1"/>
  <c r="H36" i="1" s="1"/>
  <c r="H27" i="1"/>
  <c r="H24" i="1"/>
  <c r="H25" i="1" s="1"/>
  <c r="J212" i="1"/>
  <c r="E211" i="1"/>
  <c r="F211" i="1" s="1"/>
  <c r="G211" i="1" s="1"/>
  <c r="H211" i="1" s="1"/>
  <c r="I211" i="1" s="1"/>
  <c r="J211" i="1" s="1"/>
  <c r="H94" i="1" l="1"/>
  <c r="H73" i="1"/>
  <c r="H38" i="1"/>
  <c r="H39" i="1"/>
  <c r="I22" i="1"/>
  <c r="J22" i="1"/>
  <c r="L22" i="1"/>
  <c r="G22" i="1"/>
  <c r="G18" i="1" s="1"/>
  <c r="E3" i="1"/>
  <c r="F3" i="1" s="1"/>
  <c r="G3" i="1" s="1"/>
  <c r="H3" i="1" s="1"/>
  <c r="I3" i="1" s="1"/>
  <c r="J3" i="1" s="1"/>
  <c r="K3" i="1" s="1"/>
  <c r="H179" i="1"/>
  <c r="C23" i="5"/>
  <c r="D23" i="5"/>
  <c r="E23" i="5"/>
  <c r="F23" i="5"/>
  <c r="G23" i="5"/>
  <c r="H23" i="5"/>
  <c r="I23" i="5"/>
  <c r="B23" i="5"/>
  <c r="J22" i="5"/>
  <c r="C20" i="5"/>
  <c r="D20" i="5" s="1"/>
  <c r="E20" i="5" s="1"/>
  <c r="F20" i="5" s="1"/>
  <c r="G20" i="5" s="1"/>
  <c r="H20" i="5" s="1"/>
  <c r="I20" i="5" s="1"/>
  <c r="F208" i="1"/>
  <c r="E208" i="1"/>
  <c r="E201" i="1"/>
  <c r="F201" i="1"/>
  <c r="D201" i="1"/>
  <c r="E158" i="1"/>
  <c r="F158" i="1"/>
  <c r="D158" i="1"/>
  <c r="E154" i="1"/>
  <c r="F154" i="1"/>
  <c r="D154" i="1"/>
  <c r="F15" i="4"/>
  <c r="F14" i="4"/>
  <c r="G13" i="4"/>
  <c r="G15" i="4" s="1"/>
  <c r="C8" i="4"/>
  <c r="E14" i="4" s="1"/>
  <c r="E67" i="1"/>
  <c r="F67" i="1"/>
  <c r="G67" i="1"/>
  <c r="I67" i="1"/>
  <c r="J67" i="1"/>
  <c r="K67" i="1"/>
  <c r="L67" i="1"/>
  <c r="D67" i="1"/>
  <c r="G46" i="1"/>
  <c r="C39" i="3"/>
  <c r="C37" i="3"/>
  <c r="C43" i="3" s="1"/>
  <c r="C44" i="3" s="1"/>
  <c r="C14" i="3"/>
  <c r="D177" i="1"/>
  <c r="E177" i="1"/>
  <c r="F177" i="1"/>
  <c r="D178" i="1"/>
  <c r="E178" i="1"/>
  <c r="F178" i="1"/>
  <c r="B178" i="1"/>
  <c r="B177" i="1"/>
  <c r="G134" i="1"/>
  <c r="H134" i="1" s="1"/>
  <c r="I134" i="1" s="1"/>
  <c r="J134" i="1" s="1"/>
  <c r="K134" i="1" s="1"/>
  <c r="E133" i="1"/>
  <c r="F133" i="1"/>
  <c r="G82" i="1"/>
  <c r="I82" i="1" s="1"/>
  <c r="J82" i="1" s="1"/>
  <c r="K82" i="1" s="1"/>
  <c r="L82" i="1" s="1"/>
  <c r="E24" i="1"/>
  <c r="E187" i="1" s="1"/>
  <c r="F24" i="1"/>
  <c r="F187" i="1" s="1"/>
  <c r="D24" i="1"/>
  <c r="D25" i="1" s="1"/>
  <c r="E33" i="1"/>
  <c r="F33" i="1"/>
  <c r="F119" i="1"/>
  <c r="E119" i="1"/>
  <c r="G119" i="1" s="1"/>
  <c r="G115" i="1"/>
  <c r="G162" i="1"/>
  <c r="H162" i="1"/>
  <c r="I162" i="1"/>
  <c r="J162" i="1"/>
  <c r="K162" i="1"/>
  <c r="E112" i="1"/>
  <c r="F112" i="1"/>
  <c r="G112" i="1" s="1"/>
  <c r="H112" i="1" s="1"/>
  <c r="I112" i="1" s="1"/>
  <c r="J112" i="1" s="1"/>
  <c r="K112" i="1" s="1"/>
  <c r="D112" i="1"/>
  <c r="G141" i="1"/>
  <c r="H141" i="1"/>
  <c r="I141" i="1"/>
  <c r="J141" i="1"/>
  <c r="K141" i="1"/>
  <c r="G63" i="1"/>
  <c r="I63" i="1" s="1"/>
  <c r="J63" i="1" s="1"/>
  <c r="K63" i="1" s="1"/>
  <c r="L63" i="1" s="1"/>
  <c r="G76" i="1"/>
  <c r="H76" i="1" s="1"/>
  <c r="G91" i="1"/>
  <c r="I91" i="1" s="1"/>
  <c r="J91" i="1" s="1"/>
  <c r="K91" i="1" s="1"/>
  <c r="L91" i="1" s="1"/>
  <c r="G83" i="1"/>
  <c r="I83" i="1" s="1"/>
  <c r="J83" i="1" s="1"/>
  <c r="K83" i="1" s="1"/>
  <c r="L83" i="1" s="1"/>
  <c r="G135" i="1"/>
  <c r="H135" i="1" s="1"/>
  <c r="I135" i="1" s="1"/>
  <c r="J135" i="1" s="1"/>
  <c r="K135" i="1" s="1"/>
  <c r="E131" i="1"/>
  <c r="F131" i="1"/>
  <c r="D131" i="1"/>
  <c r="G55" i="1"/>
  <c r="I55" i="1" s="1"/>
  <c r="J55" i="1" s="1"/>
  <c r="K55" i="1" s="1"/>
  <c r="L55" i="1" s="1"/>
  <c r="G54" i="1"/>
  <c r="I54" i="1" s="1"/>
  <c r="J54" i="1" s="1"/>
  <c r="K54" i="1" s="1"/>
  <c r="L54" i="1" s="1"/>
  <c r="G64" i="1"/>
  <c r="I64" i="1" s="1"/>
  <c r="J64" i="1" s="1"/>
  <c r="K64" i="1" s="1"/>
  <c r="L64" i="1" s="1"/>
  <c r="G156" i="1"/>
  <c r="H156" i="1" s="1"/>
  <c r="H163" i="1"/>
  <c r="K163" i="1" s="1"/>
  <c r="I163" i="1"/>
  <c r="G163" i="1"/>
  <c r="J163" i="1" s="1"/>
  <c r="F50" i="2"/>
  <c r="G50" i="2" s="1"/>
  <c r="E50" i="2"/>
  <c r="E49" i="2"/>
  <c r="F49" i="2"/>
  <c r="F48" i="2"/>
  <c r="E48" i="2"/>
  <c r="E47" i="2"/>
  <c r="F47" i="2"/>
  <c r="G47" i="2" s="1"/>
  <c r="E46" i="2"/>
  <c r="F46" i="2"/>
  <c r="G46" i="2" s="1"/>
  <c r="F45" i="2"/>
  <c r="G45" i="2" s="1"/>
  <c r="E45" i="2"/>
  <c r="F37" i="2"/>
  <c r="F38" i="2"/>
  <c r="F39" i="2"/>
  <c r="F40" i="2"/>
  <c r="F41" i="2"/>
  <c r="F42" i="2"/>
  <c r="E42" i="2"/>
  <c r="E41" i="2"/>
  <c r="E40" i="2"/>
  <c r="E38" i="2"/>
  <c r="E39" i="2"/>
  <c r="E37" i="2"/>
  <c r="E36" i="2"/>
  <c r="F36" i="2" s="1"/>
  <c r="G36" i="2" s="1"/>
  <c r="H36" i="2" s="1"/>
  <c r="I36" i="2" s="1"/>
  <c r="J36" i="2" s="1"/>
  <c r="K36" i="2" s="1"/>
  <c r="G116" i="1"/>
  <c r="H116" i="1" s="1"/>
  <c r="I116" i="1" s="1"/>
  <c r="J116" i="1" s="1"/>
  <c r="K116" i="1" s="1"/>
  <c r="J22" i="4" s="1"/>
  <c r="G113" i="1"/>
  <c r="H113" i="1" s="1"/>
  <c r="I113" i="1" s="1"/>
  <c r="J113" i="1" s="1"/>
  <c r="K113" i="1" s="1"/>
  <c r="K144" i="1" s="1"/>
  <c r="H15" i="2"/>
  <c r="I15" i="2" s="1"/>
  <c r="J15" i="2" s="1"/>
  <c r="K15" i="2" s="1"/>
  <c r="E26" i="2"/>
  <c r="F26" i="2"/>
  <c r="D26" i="2"/>
  <c r="F5" i="2"/>
  <c r="E5" i="2"/>
  <c r="D5" i="2"/>
  <c r="D8" i="2" s="1"/>
  <c r="E4" i="2" s="1"/>
  <c r="E3" i="2"/>
  <c r="F3" i="2" s="1"/>
  <c r="G3" i="2" s="1"/>
  <c r="H3" i="2" s="1"/>
  <c r="I3" i="2" s="1"/>
  <c r="J3" i="2" s="1"/>
  <c r="K3" i="2" s="1"/>
  <c r="G32" i="1"/>
  <c r="I32" i="1" s="1"/>
  <c r="J32" i="1" s="1"/>
  <c r="K32" i="1" s="1"/>
  <c r="L32" i="1" s="1"/>
  <c r="E30" i="1"/>
  <c r="F30" i="1"/>
  <c r="G10" i="1" s="1"/>
  <c r="H10" i="1" s="1"/>
  <c r="I10" i="1" s="1"/>
  <c r="J10" i="1" s="1"/>
  <c r="K10" i="1" s="1"/>
  <c r="D30" i="1"/>
  <c r="E27" i="1"/>
  <c r="F27" i="1"/>
  <c r="I27" i="1" s="1"/>
  <c r="J27" i="1" s="1"/>
  <c r="K27" i="1" s="1"/>
  <c r="L27" i="1" s="1"/>
  <c r="D27" i="1"/>
  <c r="I42" i="1"/>
  <c r="K42" i="1" s="1"/>
  <c r="J42" i="1"/>
  <c r="L42" i="1" s="1"/>
  <c r="I43" i="1"/>
  <c r="K43" i="1" s="1"/>
  <c r="G43" i="1"/>
  <c r="J43" i="1" s="1"/>
  <c r="L43" i="1" s="1"/>
  <c r="F22" i="1"/>
  <c r="I9" i="1" s="1"/>
  <c r="J9" i="1" s="1"/>
  <c r="K9" i="1" s="1"/>
  <c r="E22" i="1"/>
  <c r="H5" i="1" s="1"/>
  <c r="I5" i="1" s="1"/>
  <c r="J5" i="1" s="1"/>
  <c r="K5" i="1" s="1"/>
  <c r="E70" i="1"/>
  <c r="E71" i="1" s="1"/>
  <c r="F70" i="1"/>
  <c r="F71" i="1" s="1"/>
  <c r="D70" i="1"/>
  <c r="D71" i="1" s="1"/>
  <c r="E107" i="1"/>
  <c r="F107" i="1"/>
  <c r="G107" i="1" s="1"/>
  <c r="H107" i="1" s="1"/>
  <c r="I107" i="1" s="1"/>
  <c r="E108" i="1"/>
  <c r="E202" i="1" s="1"/>
  <c r="F108" i="1"/>
  <c r="F202" i="1" s="1"/>
  <c r="D108" i="1"/>
  <c r="D202" i="1" s="1"/>
  <c r="D32" i="1"/>
  <c r="D33" i="1" s="1"/>
  <c r="E141" i="1"/>
  <c r="F141" i="1"/>
  <c r="E143" i="1"/>
  <c r="F143" i="1"/>
  <c r="E144" i="1"/>
  <c r="F144" i="1"/>
  <c r="E145" i="1"/>
  <c r="E146" i="1" s="1"/>
  <c r="F145" i="1"/>
  <c r="F146" i="1" s="1"/>
  <c r="G146" i="1" s="1"/>
  <c r="E162" i="1"/>
  <c r="F162" i="1"/>
  <c r="D162" i="1"/>
  <c r="D145" i="1"/>
  <c r="D146" i="1" s="1"/>
  <c r="D144" i="1"/>
  <c r="D143" i="1"/>
  <c r="D141" i="1"/>
  <c r="E127" i="1"/>
  <c r="F127" i="1"/>
  <c r="D127" i="1"/>
  <c r="E103" i="1"/>
  <c r="F103" i="1" s="1"/>
  <c r="G103" i="1" s="1"/>
  <c r="H103" i="1" s="1"/>
  <c r="I103" i="1" s="1"/>
  <c r="J103" i="1" s="1"/>
  <c r="K103" i="1" s="1"/>
  <c r="E92" i="1"/>
  <c r="F92" i="1"/>
  <c r="D92" i="1"/>
  <c r="E84" i="1"/>
  <c r="F84" i="1"/>
  <c r="D84" i="1"/>
  <c r="E79" i="1"/>
  <c r="F79" i="1"/>
  <c r="D79" i="1"/>
  <c r="D197" i="1" s="1"/>
  <c r="E58" i="1"/>
  <c r="F58" i="1"/>
  <c r="D58" i="1"/>
  <c r="E51" i="1"/>
  <c r="F51" i="1" s="1"/>
  <c r="G51" i="1" s="1"/>
  <c r="I51" i="1" s="1"/>
  <c r="J51" i="1" s="1"/>
  <c r="K51" i="1" s="1"/>
  <c r="L51" i="1" s="1"/>
  <c r="E17" i="1"/>
  <c r="F17" i="1" s="1"/>
  <c r="G17" i="1" s="1"/>
  <c r="I17" i="1" s="1"/>
  <c r="J17" i="1" s="1"/>
  <c r="K17" i="1" s="1"/>
  <c r="L17" i="1" s="1"/>
  <c r="G39" i="5" s="1"/>
  <c r="I46" i="1" l="1"/>
  <c r="J46" i="1" s="1"/>
  <c r="K46" i="1" s="1"/>
  <c r="L46" i="1" s="1"/>
  <c r="H46" i="1"/>
  <c r="H47" i="1"/>
  <c r="H44" i="1"/>
  <c r="G6" i="1"/>
  <c r="K22" i="1"/>
  <c r="G14" i="1"/>
  <c r="I18" i="1"/>
  <c r="H180" i="1"/>
  <c r="C39" i="5"/>
  <c r="F39" i="5"/>
  <c r="E39" i="5"/>
  <c r="D39" i="5"/>
  <c r="G153" i="1"/>
  <c r="D187" i="1"/>
  <c r="G22" i="4"/>
  <c r="I22" i="4"/>
  <c r="H22" i="4"/>
  <c r="C10" i="4"/>
  <c r="C30" i="4" s="1"/>
  <c r="C36" i="4" s="1"/>
  <c r="F22" i="4"/>
  <c r="G14" i="4"/>
  <c r="H13" i="4"/>
  <c r="H15" i="4" s="1"/>
  <c r="F179" i="1"/>
  <c r="F180" i="1" s="1"/>
  <c r="E179" i="1"/>
  <c r="E180" i="1" s="1"/>
  <c r="D179" i="1"/>
  <c r="D180" i="1" s="1"/>
  <c r="E150" i="1"/>
  <c r="D94" i="1"/>
  <c r="D96" i="1" s="1"/>
  <c r="F150" i="1"/>
  <c r="E25" i="1"/>
  <c r="G77" i="1"/>
  <c r="D150" i="1"/>
  <c r="G118" i="1"/>
  <c r="G131" i="1" s="1"/>
  <c r="H119" i="1"/>
  <c r="H49" i="2"/>
  <c r="I49" i="2" s="1"/>
  <c r="J49" i="2" s="1"/>
  <c r="K49" i="2" s="1"/>
  <c r="G56" i="1"/>
  <c r="I144" i="1"/>
  <c r="G35" i="1"/>
  <c r="F18" i="4" s="1"/>
  <c r="H144" i="1"/>
  <c r="G144" i="1"/>
  <c r="J144" i="1"/>
  <c r="I76" i="1"/>
  <c r="J76" i="1" s="1"/>
  <c r="K76" i="1" s="1"/>
  <c r="L76" i="1" s="1"/>
  <c r="H47" i="2"/>
  <c r="I47" i="2" s="1"/>
  <c r="J47" i="2" s="1"/>
  <c r="K47" i="2" s="1"/>
  <c r="H50" i="2"/>
  <c r="I50" i="2" s="1"/>
  <c r="J50" i="2" s="1"/>
  <c r="K50" i="2" s="1"/>
  <c r="H46" i="2"/>
  <c r="I46" i="2" s="1"/>
  <c r="J46" i="2" s="1"/>
  <c r="K46" i="2" s="1"/>
  <c r="H146" i="1"/>
  <c r="I156" i="1"/>
  <c r="J156" i="1" s="1"/>
  <c r="K156" i="1" s="1"/>
  <c r="F27" i="2"/>
  <c r="H48" i="2"/>
  <c r="I48" i="2" s="1"/>
  <c r="J48" i="2" s="1"/>
  <c r="K48" i="2" s="1"/>
  <c r="H45" i="2"/>
  <c r="I45" i="2" s="1"/>
  <c r="J45" i="2" s="1"/>
  <c r="K45" i="2" s="1"/>
  <c r="F25" i="1"/>
  <c r="E43" i="2"/>
  <c r="F94" i="1"/>
  <c r="F96" i="1" s="1"/>
  <c r="E94" i="1"/>
  <c r="E96" i="1" s="1"/>
  <c r="F43" i="2"/>
  <c r="J107" i="1"/>
  <c r="E8" i="2"/>
  <c r="F4" i="2" s="1"/>
  <c r="F10" i="2" s="1"/>
  <c r="E11" i="2"/>
  <c r="E10" i="2"/>
  <c r="E27" i="2"/>
  <c r="D107" i="1"/>
  <c r="D34" i="1"/>
  <c r="E34" i="1"/>
  <c r="D73" i="1"/>
  <c r="F73" i="1"/>
  <c r="E73" i="1"/>
  <c r="I77" i="1" l="1"/>
  <c r="H77" i="1"/>
  <c r="H79" i="1" s="1"/>
  <c r="H96" i="1" s="1"/>
  <c r="H14" i="1"/>
  <c r="G30" i="1"/>
  <c r="G29" i="1" s="1"/>
  <c r="C38" i="4"/>
  <c r="H43" i="4"/>
  <c r="G43" i="4"/>
  <c r="F43" i="4"/>
  <c r="J18" i="1"/>
  <c r="G10" i="2"/>
  <c r="H10" i="2" s="1"/>
  <c r="C40" i="5"/>
  <c r="D36" i="1"/>
  <c r="D39" i="1" s="1"/>
  <c r="D203" i="1" s="1"/>
  <c r="D198" i="1"/>
  <c r="D188" i="1"/>
  <c r="E36" i="1"/>
  <c r="E105" i="1" s="1"/>
  <c r="E188" i="1"/>
  <c r="E198" i="1"/>
  <c r="G208" i="1"/>
  <c r="H14" i="4"/>
  <c r="I13" i="4"/>
  <c r="I15" i="4" s="1"/>
  <c r="E181" i="1"/>
  <c r="F181" i="1"/>
  <c r="G181" i="1" s="1"/>
  <c r="I181" i="1" s="1"/>
  <c r="G24" i="1"/>
  <c r="G187" i="1" s="1"/>
  <c r="J77" i="1"/>
  <c r="K77" i="1" s="1"/>
  <c r="L77" i="1" s="1"/>
  <c r="I119" i="1"/>
  <c r="J119" i="1" s="1"/>
  <c r="D100" i="1"/>
  <c r="I56" i="1"/>
  <c r="H145" i="1" s="1"/>
  <c r="H117" i="1" s="1"/>
  <c r="G111" i="1"/>
  <c r="G143" i="1" s="1"/>
  <c r="E100" i="1"/>
  <c r="F100" i="1"/>
  <c r="G145" i="1"/>
  <c r="G117" i="1" s="1"/>
  <c r="F34" i="1"/>
  <c r="I146" i="1"/>
  <c r="E99" i="1"/>
  <c r="G60" i="1"/>
  <c r="G61" i="1"/>
  <c r="G62" i="1"/>
  <c r="D99" i="1"/>
  <c r="F99" i="1"/>
  <c r="K107" i="1"/>
  <c r="F8" i="2"/>
  <c r="G4" i="2" s="1"/>
  <c r="F11" i="2"/>
  <c r="G26" i="1"/>
  <c r="D40" i="5"/>
  <c r="H100" i="1" l="1"/>
  <c r="H99" i="1"/>
  <c r="I14" i="1"/>
  <c r="I30" i="1"/>
  <c r="I29" i="1" s="1"/>
  <c r="K18" i="1"/>
  <c r="I10" i="2"/>
  <c r="J10" i="2" s="1"/>
  <c r="K10" i="2" s="1"/>
  <c r="D44" i="1"/>
  <c r="D38" i="1"/>
  <c r="D105" i="1"/>
  <c r="D122" i="1" s="1"/>
  <c r="D129" i="1" s="1"/>
  <c r="D47" i="1"/>
  <c r="E38" i="1"/>
  <c r="E39" i="1"/>
  <c r="E44" i="1" s="1"/>
  <c r="F36" i="1"/>
  <c r="F39" i="1" s="1"/>
  <c r="F203" i="1" s="1"/>
  <c r="F198" i="1"/>
  <c r="F188" i="1"/>
  <c r="D189" i="1"/>
  <c r="D192" i="1"/>
  <c r="D194" i="1"/>
  <c r="D155" i="1"/>
  <c r="D193" i="1"/>
  <c r="H208" i="1"/>
  <c r="I14" i="4"/>
  <c r="J13" i="4"/>
  <c r="J15" i="4" s="1"/>
  <c r="K15" i="4" s="1"/>
  <c r="J181" i="1"/>
  <c r="K181" i="1" s="1"/>
  <c r="L181" i="1" s="1"/>
  <c r="I180" i="1"/>
  <c r="J25" i="1"/>
  <c r="I24" i="1"/>
  <c r="H187" i="1" s="1"/>
  <c r="E122" i="1"/>
  <c r="E129" i="1" s="1"/>
  <c r="K119" i="1"/>
  <c r="J56" i="1"/>
  <c r="I145" i="1" s="1"/>
  <c r="I117" i="1" s="1"/>
  <c r="H111" i="1"/>
  <c r="H143" i="1" s="1"/>
  <c r="J146" i="1"/>
  <c r="G39" i="2"/>
  <c r="G38" i="2"/>
  <c r="G37" i="2"/>
  <c r="I62" i="1"/>
  <c r="I61" i="1"/>
  <c r="I60" i="1"/>
  <c r="G20" i="2"/>
  <c r="G6" i="2"/>
  <c r="G28" i="2" s="1"/>
  <c r="G148" i="1"/>
  <c r="I26" i="1"/>
  <c r="E40" i="5"/>
  <c r="J14" i="1" l="1"/>
  <c r="J30" i="1"/>
  <c r="J29" i="1" s="1"/>
  <c r="L18" i="1"/>
  <c r="E189" i="1"/>
  <c r="E192" i="1"/>
  <c r="E193" i="1"/>
  <c r="E47" i="1"/>
  <c r="E48" i="1" s="1"/>
  <c r="E194" i="1"/>
  <c r="E203" i="1"/>
  <c r="E155" i="1"/>
  <c r="E209" i="1"/>
  <c r="J180" i="1"/>
  <c r="K180" i="1" s="1"/>
  <c r="L180" i="1" s="1"/>
  <c r="F44" i="1"/>
  <c r="F192" i="1"/>
  <c r="F209" i="1"/>
  <c r="F194" i="1"/>
  <c r="F155" i="1"/>
  <c r="F193" i="1"/>
  <c r="F189" i="1"/>
  <c r="F47" i="1"/>
  <c r="H48" i="1" s="1"/>
  <c r="F38" i="1"/>
  <c r="G38" i="1" s="1"/>
  <c r="I38" i="1" s="1"/>
  <c r="J38" i="1" s="1"/>
  <c r="K38" i="1" s="1"/>
  <c r="L38" i="1" s="1"/>
  <c r="G150" i="1"/>
  <c r="G201" i="1"/>
  <c r="F105" i="1"/>
  <c r="F122" i="1" s="1"/>
  <c r="F129" i="1" s="1"/>
  <c r="I208" i="1"/>
  <c r="J14" i="4"/>
  <c r="K14" i="4" s="1"/>
  <c r="K25" i="1"/>
  <c r="J24" i="1"/>
  <c r="I187" i="1" s="1"/>
  <c r="E137" i="1"/>
  <c r="D137" i="1"/>
  <c r="K56" i="1"/>
  <c r="J145" i="1" s="1"/>
  <c r="J117" i="1" s="1"/>
  <c r="I111" i="1"/>
  <c r="I143" i="1" s="1"/>
  <c r="K146" i="1"/>
  <c r="H38" i="2"/>
  <c r="H39" i="2"/>
  <c r="H37" i="2"/>
  <c r="G125" i="1"/>
  <c r="J60" i="1"/>
  <c r="J61" i="1"/>
  <c r="J62" i="1"/>
  <c r="G21" i="2"/>
  <c r="G26" i="2" s="1"/>
  <c r="G27" i="2" s="1"/>
  <c r="I21" i="2"/>
  <c r="H21" i="2"/>
  <c r="J21" i="2"/>
  <c r="K21" i="2"/>
  <c r="G8" i="2"/>
  <c r="H20" i="2"/>
  <c r="J26" i="1"/>
  <c r="F40" i="5"/>
  <c r="K14" i="1" l="1"/>
  <c r="L30" i="1" s="1"/>
  <c r="L29" i="1" s="1"/>
  <c r="K30" i="1"/>
  <c r="K29" i="1" s="1"/>
  <c r="C155" i="1"/>
  <c r="F48" i="1"/>
  <c r="C43" i="4"/>
  <c r="C39" i="4" s="1"/>
  <c r="C3" i="4"/>
  <c r="E160" i="1"/>
  <c r="E205" i="1"/>
  <c r="D160" i="1"/>
  <c r="D205" i="1"/>
  <c r="J208" i="1"/>
  <c r="L25" i="1"/>
  <c r="K24" i="1"/>
  <c r="J187" i="1" s="1"/>
  <c r="F137" i="1"/>
  <c r="L56" i="1"/>
  <c r="K111" i="1" s="1"/>
  <c r="K143" i="1" s="1"/>
  <c r="J111" i="1"/>
  <c r="J143" i="1" s="1"/>
  <c r="I39" i="2"/>
  <c r="I38" i="2"/>
  <c r="I37" i="2"/>
  <c r="H125" i="1"/>
  <c r="K62" i="1"/>
  <c r="K61" i="1"/>
  <c r="K60" i="1"/>
  <c r="G30" i="2"/>
  <c r="H18" i="2" s="1"/>
  <c r="G31" i="1"/>
  <c r="G33" i="1" s="1"/>
  <c r="H4" i="2"/>
  <c r="H6" i="2" s="1"/>
  <c r="H28" i="2" s="1"/>
  <c r="I20" i="2"/>
  <c r="K26" i="1"/>
  <c r="G40" i="5"/>
  <c r="I40" i="5" s="1"/>
  <c r="D166" i="1" l="1"/>
  <c r="D167" i="1" s="1"/>
  <c r="F160" i="1"/>
  <c r="F205" i="1"/>
  <c r="K208" i="1"/>
  <c r="L24" i="1"/>
  <c r="K187" i="1" s="1"/>
  <c r="H5" i="2"/>
  <c r="H148" i="1" s="1"/>
  <c r="K145" i="1"/>
  <c r="K117" i="1" s="1"/>
  <c r="G32" i="2"/>
  <c r="J38" i="2"/>
  <c r="J39" i="2"/>
  <c r="J37" i="2"/>
  <c r="I125" i="1"/>
  <c r="L60" i="1"/>
  <c r="K37" i="2" s="1"/>
  <c r="L61" i="1"/>
  <c r="K38" i="2" s="1"/>
  <c r="L62" i="1"/>
  <c r="K39" i="2" s="1"/>
  <c r="G108" i="1"/>
  <c r="J20" i="2"/>
  <c r="L26" i="1"/>
  <c r="E165" i="1" l="1"/>
  <c r="E166" i="1" s="1"/>
  <c r="F165" i="1" s="1"/>
  <c r="F166" i="1" s="1"/>
  <c r="F21" i="4"/>
  <c r="G202" i="1"/>
  <c r="H150" i="1"/>
  <c r="H201" i="1"/>
  <c r="H8" i="2"/>
  <c r="I4" i="2" s="1"/>
  <c r="I6" i="2" s="1"/>
  <c r="I28" i="2" s="1"/>
  <c r="H22" i="2"/>
  <c r="H26" i="2" s="1"/>
  <c r="H30" i="2" s="1"/>
  <c r="I18" i="2" s="1"/>
  <c r="K22" i="2"/>
  <c r="G53" i="1"/>
  <c r="J22" i="2"/>
  <c r="I22" i="2"/>
  <c r="K125" i="1"/>
  <c r="J125" i="1"/>
  <c r="K20" i="2"/>
  <c r="E167" i="1" l="1"/>
  <c r="F167" i="1"/>
  <c r="G165" i="1"/>
  <c r="I5" i="2"/>
  <c r="I148" i="1" s="1"/>
  <c r="I31" i="1"/>
  <c r="I33" i="1" s="1"/>
  <c r="H27" i="2"/>
  <c r="H32" i="2"/>
  <c r="I53" i="1" s="1"/>
  <c r="I23" i="2" l="1"/>
  <c r="I26" i="2" s="1"/>
  <c r="I27" i="2" s="1"/>
  <c r="I8" i="2"/>
  <c r="J4" i="2" s="1"/>
  <c r="J6" i="2" s="1"/>
  <c r="J28" i="2" s="1"/>
  <c r="K23" i="2"/>
  <c r="J23" i="2"/>
  <c r="I150" i="1"/>
  <c r="I201" i="1"/>
  <c r="H108" i="1"/>
  <c r="I30" i="2" l="1"/>
  <c r="I32" i="2" s="1"/>
  <c r="J53" i="1" s="1"/>
  <c r="J5" i="2"/>
  <c r="J148" i="1" s="1"/>
  <c r="J31" i="1"/>
  <c r="J33" i="1" s="1"/>
  <c r="G21" i="4"/>
  <c r="H202" i="1"/>
  <c r="I108" i="1"/>
  <c r="J18" i="2" l="1"/>
  <c r="J8" i="2"/>
  <c r="K4" i="2" s="1"/>
  <c r="K5" i="2" s="1"/>
  <c r="J24" i="2"/>
  <c r="J26" i="2" s="1"/>
  <c r="K24" i="2"/>
  <c r="J150" i="1"/>
  <c r="J201" i="1"/>
  <c r="H21" i="4"/>
  <c r="I202" i="1"/>
  <c r="J30" i="2" l="1"/>
  <c r="K18" i="2" s="1"/>
  <c r="K6" i="2"/>
  <c r="K28" i="2" s="1"/>
  <c r="K31" i="1"/>
  <c r="J108" i="1" s="1"/>
  <c r="J27" i="2"/>
  <c r="K33" i="1"/>
  <c r="K34" i="1" s="1"/>
  <c r="J188" i="1" s="1"/>
  <c r="K148" i="1"/>
  <c r="K25" i="2"/>
  <c r="K26" i="2" s="1"/>
  <c r="K8" i="2"/>
  <c r="J34" i="1"/>
  <c r="I188" i="1" s="1"/>
  <c r="I34" i="1"/>
  <c r="H188" i="1" s="1"/>
  <c r="G34" i="1"/>
  <c r="L23" i="1"/>
  <c r="L90" i="1" s="1"/>
  <c r="J23" i="1"/>
  <c r="J90" i="1" s="1"/>
  <c r="I23" i="1"/>
  <c r="I90" i="1" s="1"/>
  <c r="G23" i="1"/>
  <c r="G88" i="1" s="1"/>
  <c r="G41" i="2" s="1"/>
  <c r="K23" i="1"/>
  <c r="K88" i="1" s="1"/>
  <c r="J32" i="2" l="1"/>
  <c r="K53" i="1" s="1"/>
  <c r="K150" i="1"/>
  <c r="K201" i="1"/>
  <c r="I21" i="4"/>
  <c r="J202" i="1"/>
  <c r="G36" i="1"/>
  <c r="F17" i="4" s="1"/>
  <c r="F19" i="4" s="1"/>
  <c r="F20" i="4" s="1"/>
  <c r="G198" i="1"/>
  <c r="G188" i="1"/>
  <c r="K90" i="1"/>
  <c r="J42" i="2" s="1"/>
  <c r="G87" i="1"/>
  <c r="J88" i="1"/>
  <c r="J41" i="2" s="1"/>
  <c r="K27" i="2"/>
  <c r="L31" i="1"/>
  <c r="K87" i="1"/>
  <c r="L87" i="1"/>
  <c r="I42" i="2"/>
  <c r="L88" i="1"/>
  <c r="K41" i="2" s="1"/>
  <c r="K30" i="2"/>
  <c r="K32" i="2" s="1"/>
  <c r="G90" i="1"/>
  <c r="G42" i="2" s="1"/>
  <c r="I88" i="1"/>
  <c r="H41" i="2" s="1"/>
  <c r="I87" i="1"/>
  <c r="J87" i="1"/>
  <c r="C6" i="4" l="1"/>
  <c r="G37" i="1"/>
  <c r="G132" i="1" s="1"/>
  <c r="G105" i="1"/>
  <c r="G122" i="1" s="1"/>
  <c r="J40" i="2"/>
  <c r="J43" i="2" s="1"/>
  <c r="I23" i="4" s="1"/>
  <c r="G40" i="2"/>
  <c r="G126" i="1" s="1"/>
  <c r="G127" i="1" s="1"/>
  <c r="K42" i="2"/>
  <c r="G57" i="1"/>
  <c r="K40" i="2"/>
  <c r="L33" i="1"/>
  <c r="L34" i="1" s="1"/>
  <c r="K188" i="1" s="1"/>
  <c r="K108" i="1"/>
  <c r="L53" i="1"/>
  <c r="H42" i="2"/>
  <c r="I40" i="2"/>
  <c r="I41" i="2"/>
  <c r="H40" i="2"/>
  <c r="G39" i="1" l="1"/>
  <c r="G47" i="1" s="1"/>
  <c r="G129" i="1"/>
  <c r="G137" i="1" s="1"/>
  <c r="J21" i="4"/>
  <c r="K202" i="1"/>
  <c r="G43" i="2"/>
  <c r="F23" i="4" s="1"/>
  <c r="F24" i="4" s="1"/>
  <c r="F26" i="4" s="1"/>
  <c r="F27" i="4" s="1"/>
  <c r="J126" i="1"/>
  <c r="J127" i="1" s="1"/>
  <c r="K43" i="2"/>
  <c r="J23" i="4" s="1"/>
  <c r="K126" i="1"/>
  <c r="K127" i="1" s="1"/>
  <c r="I57" i="1"/>
  <c r="G58" i="1"/>
  <c r="H126" i="1"/>
  <c r="H127" i="1" s="1"/>
  <c r="H43" i="2"/>
  <c r="G23" i="4" s="1"/>
  <c r="I43" i="2"/>
  <c r="H23" i="4" s="1"/>
  <c r="I126" i="1"/>
  <c r="I127" i="1" s="1"/>
  <c r="G44" i="1" l="1"/>
  <c r="G155" i="1"/>
  <c r="G209" i="1"/>
  <c r="G189" i="1"/>
  <c r="G78" i="1"/>
  <c r="G79" i="1" s="1"/>
  <c r="G192" i="1" s="1"/>
  <c r="G205" i="1"/>
  <c r="C41" i="5"/>
  <c r="C42" i="5" s="1"/>
  <c r="G203" i="1"/>
  <c r="G48" i="1"/>
  <c r="J57" i="1"/>
  <c r="I58" i="1"/>
  <c r="G84" i="1"/>
  <c r="K57" i="1" l="1"/>
  <c r="J58" i="1"/>
  <c r="I84" i="1"/>
  <c r="L57" i="1" l="1"/>
  <c r="L58" i="1" s="1"/>
  <c r="K58" i="1"/>
  <c r="J84" i="1"/>
  <c r="K84" i="1" l="1"/>
  <c r="L84" i="1"/>
  <c r="D41" i="5"/>
  <c r="E41" i="5"/>
  <c r="F41" i="5"/>
  <c r="G41" i="5"/>
  <c r="D42" i="5"/>
  <c r="E42" i="5"/>
  <c r="F42" i="5"/>
  <c r="G42" i="5"/>
  <c r="I35" i="1"/>
  <c r="J35" i="1"/>
  <c r="K35" i="1"/>
  <c r="L35" i="1"/>
  <c r="I36" i="1"/>
  <c r="J36" i="1"/>
  <c r="K36" i="1"/>
  <c r="L36" i="1"/>
  <c r="I37" i="1"/>
  <c r="J37" i="1"/>
  <c r="K37" i="1"/>
  <c r="L37" i="1"/>
  <c r="I39" i="1"/>
  <c r="J39" i="1"/>
  <c r="K39" i="1"/>
  <c r="L39" i="1"/>
  <c r="I44" i="1"/>
  <c r="J44" i="1"/>
  <c r="K44" i="1"/>
  <c r="L44" i="1"/>
  <c r="I47" i="1"/>
  <c r="J47" i="1"/>
  <c r="K47" i="1"/>
  <c r="L47" i="1"/>
  <c r="I48" i="1"/>
  <c r="J48" i="1"/>
  <c r="K48" i="1"/>
  <c r="L48" i="1"/>
  <c r="G68" i="1"/>
  <c r="I68" i="1"/>
  <c r="J68" i="1"/>
  <c r="K68" i="1"/>
  <c r="L68" i="1"/>
  <c r="G69" i="1"/>
  <c r="I69" i="1"/>
  <c r="J69" i="1"/>
  <c r="K69" i="1"/>
  <c r="L69" i="1"/>
  <c r="G70" i="1"/>
  <c r="I70" i="1"/>
  <c r="J70" i="1"/>
  <c r="K70" i="1"/>
  <c r="L70" i="1"/>
  <c r="G71" i="1"/>
  <c r="I71" i="1"/>
  <c r="J71" i="1"/>
  <c r="K71" i="1"/>
  <c r="L71" i="1"/>
  <c r="G73" i="1"/>
  <c r="I73" i="1"/>
  <c r="J73" i="1"/>
  <c r="K73" i="1"/>
  <c r="L73" i="1"/>
  <c r="I78" i="1"/>
  <c r="J78" i="1"/>
  <c r="K78" i="1"/>
  <c r="L78" i="1"/>
  <c r="I79" i="1"/>
  <c r="J79" i="1"/>
  <c r="K79" i="1"/>
  <c r="L79" i="1"/>
  <c r="G89" i="1"/>
  <c r="I89" i="1"/>
  <c r="J89" i="1"/>
  <c r="K89" i="1"/>
  <c r="L89" i="1"/>
  <c r="G92" i="1"/>
  <c r="I92" i="1"/>
  <c r="J92" i="1"/>
  <c r="K92" i="1"/>
  <c r="L92" i="1"/>
  <c r="G94" i="1"/>
  <c r="I94" i="1"/>
  <c r="J94" i="1"/>
  <c r="K94" i="1"/>
  <c r="L94" i="1"/>
  <c r="G96" i="1"/>
  <c r="I96" i="1"/>
  <c r="J96" i="1"/>
  <c r="K96" i="1"/>
  <c r="L96" i="1"/>
  <c r="G99" i="1"/>
  <c r="I99" i="1"/>
  <c r="J99" i="1"/>
  <c r="K99" i="1"/>
  <c r="L99" i="1"/>
  <c r="G100" i="1"/>
  <c r="I100" i="1"/>
  <c r="J100" i="1"/>
  <c r="K100" i="1"/>
  <c r="L100" i="1"/>
  <c r="H105" i="1"/>
  <c r="I105" i="1"/>
  <c r="J105" i="1"/>
  <c r="K105" i="1"/>
  <c r="H115" i="1"/>
  <c r="I115" i="1"/>
  <c r="J115" i="1"/>
  <c r="K115" i="1"/>
  <c r="H118" i="1"/>
  <c r="I118" i="1"/>
  <c r="J118" i="1"/>
  <c r="K118" i="1"/>
  <c r="H122" i="1"/>
  <c r="I122" i="1"/>
  <c r="J122" i="1"/>
  <c r="K122" i="1"/>
  <c r="H129" i="1"/>
  <c r="I129" i="1"/>
  <c r="J129" i="1"/>
  <c r="K129" i="1"/>
  <c r="H131" i="1"/>
  <c r="I131" i="1"/>
  <c r="J131" i="1"/>
  <c r="K131" i="1"/>
  <c r="H132" i="1"/>
  <c r="I132" i="1"/>
  <c r="J132" i="1"/>
  <c r="K132" i="1"/>
  <c r="H137" i="1"/>
  <c r="I137" i="1"/>
  <c r="J137" i="1"/>
  <c r="K137" i="1"/>
  <c r="H153" i="1"/>
  <c r="I153" i="1"/>
  <c r="J153" i="1"/>
  <c r="K153" i="1"/>
  <c r="H154" i="1"/>
  <c r="I154" i="1"/>
  <c r="J154" i="1"/>
  <c r="K154" i="1"/>
  <c r="H155" i="1"/>
  <c r="I155" i="1"/>
  <c r="J155" i="1"/>
  <c r="K155" i="1"/>
  <c r="G157" i="1"/>
  <c r="H157" i="1"/>
  <c r="I157" i="1"/>
  <c r="J157" i="1"/>
  <c r="K157" i="1"/>
  <c r="G158" i="1"/>
  <c r="H158" i="1"/>
  <c r="I158" i="1"/>
  <c r="J158" i="1"/>
  <c r="K158" i="1"/>
  <c r="G160" i="1"/>
  <c r="H160" i="1"/>
  <c r="I160" i="1"/>
  <c r="J160" i="1"/>
  <c r="K160" i="1"/>
  <c r="H165" i="1"/>
  <c r="I165" i="1"/>
  <c r="J165" i="1"/>
  <c r="K165" i="1"/>
  <c r="G166" i="1"/>
  <c r="H166" i="1"/>
  <c r="I166" i="1"/>
  <c r="J166" i="1"/>
  <c r="K166" i="1"/>
  <c r="G167" i="1"/>
  <c r="H167" i="1"/>
  <c r="I167" i="1"/>
  <c r="J167" i="1"/>
  <c r="K167" i="1"/>
  <c r="G177" i="1"/>
  <c r="I177" i="1"/>
  <c r="J177" i="1"/>
  <c r="K177" i="1"/>
  <c r="L177" i="1"/>
  <c r="G178" i="1"/>
  <c r="I178" i="1"/>
  <c r="J178" i="1"/>
  <c r="K178" i="1"/>
  <c r="L178" i="1"/>
  <c r="G179" i="1"/>
  <c r="I179" i="1"/>
  <c r="J179" i="1"/>
  <c r="K179" i="1"/>
  <c r="L179" i="1"/>
  <c r="H189" i="1"/>
  <c r="I189" i="1"/>
  <c r="J189" i="1"/>
  <c r="K189" i="1"/>
  <c r="H192" i="1"/>
  <c r="I192" i="1"/>
  <c r="J192" i="1"/>
  <c r="K192" i="1"/>
  <c r="G193" i="1"/>
  <c r="H193" i="1"/>
  <c r="I193" i="1"/>
  <c r="J193" i="1"/>
  <c r="K193" i="1"/>
  <c r="G194" i="1"/>
  <c r="H194" i="1"/>
  <c r="I194" i="1"/>
  <c r="J194" i="1"/>
  <c r="K194" i="1"/>
  <c r="G197" i="1"/>
  <c r="H197" i="1"/>
  <c r="I197" i="1"/>
  <c r="J197" i="1"/>
  <c r="K197" i="1"/>
  <c r="H198" i="1"/>
  <c r="I198" i="1"/>
  <c r="J198" i="1"/>
  <c r="K198" i="1"/>
  <c r="H203" i="1"/>
  <c r="I203" i="1"/>
  <c r="J203" i="1"/>
  <c r="K203" i="1"/>
  <c r="H205" i="1"/>
  <c r="I205" i="1"/>
  <c r="J205" i="1"/>
  <c r="K205" i="1"/>
  <c r="H209" i="1"/>
  <c r="I209" i="1"/>
  <c r="J209" i="1"/>
  <c r="K209" i="1"/>
  <c r="F8" i="4"/>
  <c r="N14" i="4"/>
  <c r="N15" i="4"/>
  <c r="G17" i="4"/>
  <c r="H17" i="4"/>
  <c r="I17" i="4"/>
  <c r="J17" i="4"/>
  <c r="G18" i="4"/>
  <c r="H18" i="4"/>
  <c r="I18" i="4"/>
  <c r="J18" i="4"/>
  <c r="G19" i="4"/>
  <c r="H19" i="4"/>
  <c r="I19" i="4"/>
  <c r="J19" i="4"/>
  <c r="G20" i="4"/>
  <c r="H20" i="4"/>
  <c r="I20" i="4"/>
  <c r="J20" i="4"/>
  <c r="G24" i="4"/>
  <c r="H24" i="4"/>
  <c r="I24" i="4"/>
  <c r="J24" i="4"/>
  <c r="G26" i="4"/>
  <c r="H26" i="4"/>
  <c r="I26" i="4"/>
  <c r="J26" i="4"/>
  <c r="K26" i="4"/>
  <c r="G27" i="4"/>
  <c r="H27" i="4"/>
  <c r="I27" i="4"/>
  <c r="J27" i="4"/>
  <c r="K27" i="4"/>
  <c r="F30" i="4"/>
  <c r="G30" i="4"/>
  <c r="H30" i="4"/>
  <c r="K30" i="4"/>
  <c r="C31" i="4"/>
  <c r="F31" i="4"/>
  <c r="G31" i="4"/>
  <c r="H31" i="4"/>
  <c r="K31" i="4"/>
  <c r="C32" i="4"/>
  <c r="F32" i="4"/>
  <c r="G32" i="4"/>
  <c r="H32" i="4"/>
  <c r="K32" i="4"/>
  <c r="C33" i="4"/>
  <c r="F33" i="4"/>
  <c r="G33" i="4"/>
  <c r="H33" i="4"/>
  <c r="F34" i="4"/>
  <c r="G34" i="4"/>
  <c r="H34" i="4"/>
  <c r="F35" i="4"/>
  <c r="G35" i="4"/>
  <c r="H35" i="4"/>
  <c r="F36" i="4"/>
  <c r="G36" i="4"/>
  <c r="H36" i="4"/>
  <c r="F38" i="4"/>
  <c r="G38" i="4"/>
  <c r="H38" i="4"/>
  <c r="F39" i="4"/>
  <c r="G39" i="4"/>
  <c r="H39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tc={8AF4ED98-E7F1-6D4A-B98B-0992295A7ADF}</author>
    <author>tc={CB02D643-E82F-1249-872B-831493E0C84A}</author>
    <author>tc={6927A23F-7699-E942-8CAD-C24545DA0E15}</author>
    <author>tc={1D896750-4158-FD47-AD5A-B3A1060194C3}</author>
  </authors>
  <commentList>
    <comment ref="G42" authorId="0" shapeId="0" xr:uid="{8AF4ED98-E7F1-6D4A-B98B-0992295A7ADF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Assumption based on 3QFY24 quarterly report</t>
      </text>
    </comment>
    <comment ref="I155" authorId="1" shapeId="0" xr:uid="{CB02D643-E82F-1249-872B-831493E0C84A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Assume min 60% dividend payout</t>
      </text>
    </comment>
    <comment ref="G180" authorId="2" shapeId="0" xr:uid="{6927A23F-7699-E942-8CAD-C24545DA0E15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Assumptions based on the 3QFY24 data</t>
      </text>
    </comment>
    <comment ref="I180" authorId="3" shapeId="0" xr:uid="{1D896750-4158-FD47-AD5A-B3A1060194C3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Assumptions based on the 3QFY24 data
Reply:
    Assume a min 10% of cash balance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tc={12984621-BD27-6648-BAB1-00E7DF5376BD}</author>
    <author>tc={7E9836DF-34B7-B84C-93F2-143104F1FBE1}</author>
  </authors>
  <commentList>
    <comment ref="G5" authorId="0" shapeId="0" xr:uid="{12984621-BD27-6648-BAB1-00E7DF5376BD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Capex as dated of 12MFY24</t>
      </text>
    </comment>
    <comment ref="G47" authorId="1" shapeId="0" xr:uid="{7E9836DF-34B7-B84C-93F2-143104F1FBE1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3QFY24 assumptions</t>
      </text>
    </comment>
  </commentList>
</comments>
</file>

<file path=xl/sharedStrings.xml><?xml version="1.0" encoding="utf-8"?>
<sst xmlns="http://schemas.openxmlformats.org/spreadsheetml/2006/main" count="361" uniqueCount="309">
  <si>
    <t>-</t>
  </si>
  <si>
    <t>Income Statement (all in RM except for shares amount)</t>
  </si>
  <si>
    <t>Period ending 30 June</t>
  </si>
  <si>
    <t>Revenue</t>
  </si>
  <si>
    <t>Revenue Growth, %</t>
  </si>
  <si>
    <t>Cost of sales</t>
  </si>
  <si>
    <t>Gross profit</t>
  </si>
  <si>
    <t>Gross Margin, %</t>
  </si>
  <si>
    <t>Other income</t>
  </si>
  <si>
    <t>Other income, % of Sales</t>
  </si>
  <si>
    <t>Selling, General &amp; Administrative Cost</t>
  </si>
  <si>
    <t>- Administrative expenses</t>
  </si>
  <si>
    <t>Administrative expenses, % of Sales</t>
  </si>
  <si>
    <t>- Depreciation of PPE</t>
  </si>
  <si>
    <t>- Amortization of intangible asset</t>
  </si>
  <si>
    <t>Total Selling, General &amp; Administrative Expenses</t>
  </si>
  <si>
    <t>Profit from operations</t>
  </si>
  <si>
    <t>Finance costs</t>
  </si>
  <si>
    <t>Profit before tax</t>
  </si>
  <si>
    <t>Tax expenses</t>
  </si>
  <si>
    <t>Effective Tax Rate, %</t>
  </si>
  <si>
    <t>Profit for the financial year</t>
  </si>
  <si>
    <t>Other comprehensive loss</t>
  </si>
  <si>
    <t>- Net change in fair value of
other investments designated at fair value through other comprehensive income</t>
  </si>
  <si>
    <t>- Exchange differences on translation of foreign operations</t>
  </si>
  <si>
    <t>Total comprehensive income for the financial year</t>
  </si>
  <si>
    <t>Weighted average number of ordinary shares in issue</t>
  </si>
  <si>
    <t>Basic EPS (sen)</t>
  </si>
  <si>
    <t>EPS Growth Rate</t>
  </si>
  <si>
    <t>Balance Sheet (all in RM except for shares amount)</t>
  </si>
  <si>
    <t>As at 30 June</t>
  </si>
  <si>
    <t>Note</t>
  </si>
  <si>
    <t>Non-current assets</t>
  </si>
  <si>
    <t>Property, plant and equipment</t>
  </si>
  <si>
    <t>Intangible assets</t>
  </si>
  <si>
    <t>Investment in subsidiaries</t>
  </si>
  <si>
    <t>Other investments</t>
  </si>
  <si>
    <t>Deferred tax assets</t>
  </si>
  <si>
    <t>Current assets</t>
  </si>
  <si>
    <t>Trade receivables</t>
  </si>
  <si>
    <t>Contract assets</t>
  </si>
  <si>
    <t>Other receivables, deposits, and prepayments</t>
  </si>
  <si>
    <t>Tax recoverable</t>
  </si>
  <si>
    <t>Cash and Cash Equivalent</t>
  </si>
  <si>
    <t>Fixed deposit with licensed banks</t>
  </si>
  <si>
    <t>Investment in money market fund</t>
  </si>
  <si>
    <t>Cash and bank balances</t>
  </si>
  <si>
    <t>Total Cash and Cash Equivalent</t>
  </si>
  <si>
    <t>Total Assets</t>
  </si>
  <si>
    <t>EQUITY</t>
  </si>
  <si>
    <t>Share capital</t>
  </si>
  <si>
    <t>Treasury shares</t>
  </si>
  <si>
    <t>Reserves</t>
  </si>
  <si>
    <t>Total equity</t>
  </si>
  <si>
    <t>Non-current liability</t>
  </si>
  <si>
    <t>Deferred tax liabilities</t>
  </si>
  <si>
    <t>Lease liabilities</t>
  </si>
  <si>
    <t>Current liabilities</t>
  </si>
  <si>
    <t>Trade payables</t>
  </si>
  <si>
    <t>Other payables and accruals</t>
  </si>
  <si>
    <t>Contract liabilities</t>
  </si>
  <si>
    <t>Tax payable</t>
  </si>
  <si>
    <t>Total Liabilities</t>
  </si>
  <si>
    <t>Total Equity and Liabilities</t>
  </si>
  <si>
    <t>Supplemental Data</t>
  </si>
  <si>
    <t>Match? (Y/N)</t>
  </si>
  <si>
    <t>Difference</t>
  </si>
  <si>
    <t>Cash Flow Statement (all in RM except for shares amount)</t>
  </si>
  <si>
    <t>Cash flow from operating activities</t>
  </si>
  <si>
    <t>Adjustments for:</t>
  </si>
  <si>
    <t>Amortisation of intangible assets</t>
  </si>
  <si>
    <t>Depreciation for PPE</t>
  </si>
  <si>
    <t>Distribution income from investment in money market fund</t>
  </si>
  <si>
    <t>Dividend income from:</t>
  </si>
  <si>
    <t>- other investments</t>
  </si>
  <si>
    <t>- dividend of from other investments / total other investments</t>
  </si>
  <si>
    <t>- a subsidiary</t>
  </si>
  <si>
    <t>Fair value (gain)/loss on investment in money market fund</t>
  </si>
  <si>
    <t>Finance cost</t>
  </si>
  <si>
    <t>Gain on disposal of property, plant and equipment</t>
  </si>
  <si>
    <t>Income from other investments</t>
  </si>
  <si>
    <t>Interest income</t>
  </si>
  <si>
    <t>- interest income, total cash balance %</t>
  </si>
  <si>
    <t>Plant and equipment written off</t>
  </si>
  <si>
    <t>Unrealised gain on foreign exchange</t>
  </si>
  <si>
    <t>Operating profit/(loss) before working capital changes</t>
  </si>
  <si>
    <t>Changes in working capital:</t>
  </si>
  <si>
    <t>Movement in receivables</t>
  </si>
  <si>
    <t>Movement in payables</t>
  </si>
  <si>
    <t>Net Working Capital Change</t>
  </si>
  <si>
    <t>Cash flow generated/(used in) operations</t>
  </si>
  <si>
    <t>Interest received</t>
  </si>
  <si>
    <t>Tax paid</t>
  </si>
  <si>
    <t>Actual Tax Paid, % of income tax</t>
  </si>
  <si>
    <t>Deferred Income Tax</t>
  </si>
  <si>
    <t>Tax refunded</t>
  </si>
  <si>
    <t>Net cash generated from/ (used in) operating activities</t>
  </si>
  <si>
    <t>Cash flow from investing activities</t>
  </si>
  <si>
    <t>Distribution income received from investment in money market fund</t>
  </si>
  <si>
    <t>income from other investments, % of total other investments</t>
  </si>
  <si>
    <t>Net change in other investment</t>
  </si>
  <si>
    <t>Purchase of PPE</t>
  </si>
  <si>
    <t>Sales of PPE</t>
  </si>
  <si>
    <t>Net cash (used in)/generated from investing activities</t>
  </si>
  <si>
    <t>Cash flow from financing activities</t>
  </si>
  <si>
    <t>Dividends paid</t>
  </si>
  <si>
    <t>Shares repurchased</t>
  </si>
  <si>
    <t>Repayment of lease liabilities, net</t>
  </si>
  <si>
    <t>Net cash used in financing activities</t>
  </si>
  <si>
    <t>Net increase/(decrease) in cash and cash equivalent</t>
  </si>
  <si>
    <t>Currency Translation Difference</t>
  </si>
  <si>
    <t>Cash and cash equivalent at the beginnig of the year</t>
  </si>
  <si>
    <t>Cash and cash equivalent at the end of the year</t>
  </si>
  <si>
    <t>Cash flow Match?</t>
  </si>
  <si>
    <t>Assumptions</t>
  </si>
  <si>
    <t>lease finance cost assumptions</t>
  </si>
  <si>
    <t>Yes</t>
  </si>
  <si>
    <t>Auto Debt Repayment</t>
  </si>
  <si>
    <t>No</t>
  </si>
  <si>
    <t>Total Cash Balance</t>
  </si>
  <si>
    <t>Cash / Total Cash Balance, %</t>
  </si>
  <si>
    <t>Cash / Total Cash Balance, declining rate %</t>
  </si>
  <si>
    <t>PPE Schedule (all in RM except for shares amount)</t>
  </si>
  <si>
    <t>PPE @ 1 May</t>
  </si>
  <si>
    <t>Capex</t>
  </si>
  <si>
    <t>Written Off</t>
  </si>
  <si>
    <t>Translation Adjustment</t>
  </si>
  <si>
    <t>PPE at cost @ 31 June</t>
  </si>
  <si>
    <t>Capex, % of PPE</t>
  </si>
  <si>
    <t>Written Off, % of PPE</t>
  </si>
  <si>
    <t>Useful Life</t>
  </si>
  <si>
    <t>PPE</t>
  </si>
  <si>
    <t>Accumulated Depreciation</t>
  </si>
  <si>
    <t>Accumulated Depreciation @ 1 May</t>
  </si>
  <si>
    <t>Straight Line Depreciation</t>
  </si>
  <si>
    <t>Capex @ FY24</t>
  </si>
  <si>
    <t>Capex @ FY25</t>
  </si>
  <si>
    <t>Capex @ FY26</t>
  </si>
  <si>
    <t>Capex @ FY27</t>
  </si>
  <si>
    <t>Capex @ FY28</t>
  </si>
  <si>
    <t xml:space="preserve"> </t>
  </si>
  <si>
    <t>Current Year Depreciation</t>
  </si>
  <si>
    <t>Depreciation Growth, %</t>
  </si>
  <si>
    <t>Accumulated Depreciation @ 31 June</t>
  </si>
  <si>
    <t>Net PPE @ 31 June</t>
  </si>
  <si>
    <t>Working Capital Schedule (all in RM except for shares amount)</t>
  </si>
  <si>
    <t>Total Changes in NWC</t>
  </si>
  <si>
    <t>Days receivable</t>
  </si>
  <si>
    <t>Days to collect contract assets</t>
  </si>
  <si>
    <t>Days to collect other receivables</t>
  </si>
  <si>
    <t>Days payable</t>
  </si>
  <si>
    <t>Days to pay other payables</t>
  </si>
  <si>
    <t>Days to pay contract liabilities</t>
  </si>
  <si>
    <t>Revenue Drivers</t>
  </si>
  <si>
    <t>Strong YOY growth for FY24 quarter revenue</t>
  </si>
  <si>
    <t>The YOY revenue growth of 2QFY24 and 3QFY24 are 36.47% and 36.23%, respectively.</t>
  </si>
  <si>
    <t>The YOY revenue growth of 9MFY24 is 26%</t>
  </si>
  <si>
    <t>Cost Analysis</t>
  </si>
  <si>
    <t>Gross Margin</t>
  </si>
  <si>
    <t xml:space="preserve">The historical gross margin for FY22 and FY23 are around 72% to 73%, but the 9MFY24's gross margin dropped to 70.45% due to the increased in COGS.
</t>
  </si>
  <si>
    <t>The forecasting for the future COGS will be 70.45%, which is a conservative approach.</t>
  </si>
  <si>
    <t>Shareholdings Analysis</t>
  </si>
  <si>
    <t>Acquisition by new substantial shareholders in 2024</t>
  </si>
  <si>
    <t>Datuk Seow Gim Shen, Metaco Assets Holdings Sdn Bhd and Bemas Holdings Sdn Bhd have extended a formal unconditional mandatory takeover offer to acquire all the remaining ordinary shares in the company at 85 sen per share.</t>
  </si>
  <si>
    <t>Parties</t>
  </si>
  <si>
    <t>Shares Owned (%)</t>
  </si>
  <si>
    <t>Insiders</t>
  </si>
  <si>
    <t>Gim Seow</t>
  </si>
  <si>
    <t>CEO</t>
  </si>
  <si>
    <t>Hun Kuah</t>
  </si>
  <si>
    <t>last acqusition of shares occurred on April 2022</t>
  </si>
  <si>
    <t>Lun Hoo Seow</t>
  </si>
  <si>
    <t>Kho Gan</t>
  </si>
  <si>
    <t>Cheng Wui Pui</t>
  </si>
  <si>
    <t>Chu Mooi Low</t>
  </si>
  <si>
    <t>Yang Binti Mohd Piah</t>
  </si>
  <si>
    <t>Ing Mui Chieng</t>
  </si>
  <si>
    <t>Swee Beng Haw</t>
  </si>
  <si>
    <t>Ah Chai Fong</t>
  </si>
  <si>
    <t>Shwu Sian Lee</t>
  </si>
  <si>
    <t>Zhen Sheng Tang</t>
  </si>
  <si>
    <t>Hon Min Chong</t>
  </si>
  <si>
    <t>Choon Seang Wang</t>
  </si>
  <si>
    <t>Siew Kuen Chan</t>
  </si>
  <si>
    <t>Siew Foong Chan</t>
  </si>
  <si>
    <t>Kok Wai Leong</t>
  </si>
  <si>
    <t>Chin Loon Yeap</t>
  </si>
  <si>
    <t>Chee Seng Lee</t>
  </si>
  <si>
    <t>Ai Ming Wong</t>
  </si>
  <si>
    <t>Theng Theng Boey</t>
  </si>
  <si>
    <t>Kam Ng</t>
  </si>
  <si>
    <t>Mutual Funds</t>
  </si>
  <si>
    <t>Andbank Asset Management</t>
  </si>
  <si>
    <t>Private Companies</t>
  </si>
  <si>
    <t>Metaco Asset Holdings San. Bhd.</t>
  </si>
  <si>
    <t>Bemas Holdings Sdn. Bhd.</t>
  </si>
  <si>
    <t>Honji Corporation Sdn. Bhd.</t>
  </si>
  <si>
    <t>Total insiders and institutions' holdings</t>
  </si>
  <si>
    <t>Public Holdings</t>
  </si>
  <si>
    <t>Required Return</t>
  </si>
  <si>
    <t>Tax Rate</t>
  </si>
  <si>
    <t>CAPM</t>
  </si>
  <si>
    <t>Discount Rate</t>
  </si>
  <si>
    <t>Conservative</t>
  </si>
  <si>
    <t>Perpertual Growth Rate</t>
  </si>
  <si>
    <t>Safetest</t>
  </si>
  <si>
    <t>EBITDA @ FY24E</t>
  </si>
  <si>
    <t>EV/EBITDA multiple</t>
  </si>
  <si>
    <t>EV/EBITDA</t>
  </si>
  <si>
    <t>Transaction Date</t>
  </si>
  <si>
    <t>Current</t>
  </si>
  <si>
    <t>Current Price</t>
  </si>
  <si>
    <t>Peers</t>
  </si>
  <si>
    <t>Shares Outstanding</t>
  </si>
  <si>
    <t>Discounted Cash Flow Valuation</t>
  </si>
  <si>
    <t>Entry</t>
  </si>
  <si>
    <t>Exit</t>
  </si>
  <si>
    <t>Terminal Value</t>
  </si>
  <si>
    <t>Date</t>
  </si>
  <si>
    <t>Perpertual Growth</t>
  </si>
  <si>
    <t>discount factor</t>
  </si>
  <si>
    <t>EBT</t>
  </si>
  <si>
    <t>EBIT</t>
  </si>
  <si>
    <t>Less: Tax</t>
  </si>
  <si>
    <t>Plus: D&amp;A</t>
  </si>
  <si>
    <t>Plus: Other Non-cash expenses</t>
  </si>
  <si>
    <t>Less: Changes in NWC</t>
  </si>
  <si>
    <t>Unlevered FCF</t>
  </si>
  <si>
    <t>Transactional FCF</t>
  </si>
  <si>
    <t>PV of FCF</t>
  </si>
  <si>
    <t>Market Value</t>
  </si>
  <si>
    <t>Valuation</t>
  </si>
  <si>
    <t>Perpertual</t>
  </si>
  <si>
    <t>Average</t>
  </si>
  <si>
    <t>Rate of Return</t>
  </si>
  <si>
    <t>Market Caps</t>
  </si>
  <si>
    <t>Total PV of FCF</t>
  </si>
  <si>
    <t>Perpetual</t>
  </si>
  <si>
    <t>Plus: Debt</t>
  </si>
  <si>
    <t>PV of Terminal Value</t>
  </si>
  <si>
    <t>Less: Cash</t>
  </si>
  <si>
    <t>Enterprise Value</t>
  </si>
  <si>
    <t xml:space="preserve">EV </t>
  </si>
  <si>
    <t>Plus: Cash</t>
  </si>
  <si>
    <t>Less: Debt</t>
  </si>
  <si>
    <t>Equity Value</t>
  </si>
  <si>
    <t>Current Share Price</t>
  </si>
  <si>
    <t>Target Price based on DCF</t>
  </si>
  <si>
    <t>P/E</t>
  </si>
  <si>
    <t>PEG</t>
  </si>
  <si>
    <t>Target price based on PEG = 1</t>
  </si>
  <si>
    <t>- DPS (sen)</t>
  </si>
  <si>
    <t>- Dividend Payout Ratio</t>
  </si>
  <si>
    <t>Profitability</t>
  </si>
  <si>
    <t>Operating Margin</t>
  </si>
  <si>
    <t>Net Margin</t>
  </si>
  <si>
    <t>2021A</t>
  </si>
  <si>
    <t>2022A</t>
  </si>
  <si>
    <t>2023A</t>
  </si>
  <si>
    <t>2024E</t>
  </si>
  <si>
    <t>2025E</t>
  </si>
  <si>
    <t>2026E</t>
  </si>
  <si>
    <t>2027E</t>
  </si>
  <si>
    <t>2028E</t>
  </si>
  <si>
    <t>Operating Efficiency</t>
  </si>
  <si>
    <t>ROE</t>
  </si>
  <si>
    <t>ROA</t>
  </si>
  <si>
    <t>ROIC</t>
  </si>
  <si>
    <t>Leverage</t>
  </si>
  <si>
    <t>Debt to Equity</t>
  </si>
  <si>
    <t>Time interest coverage</t>
  </si>
  <si>
    <t>Capital Allocation</t>
  </si>
  <si>
    <t>Capex  / Depreciation</t>
  </si>
  <si>
    <t>Capex / Sales, %</t>
  </si>
  <si>
    <t>Cash conversion rate</t>
  </si>
  <si>
    <t>Financial Ratio Summary</t>
  </si>
  <si>
    <t>Growth</t>
  </si>
  <si>
    <t>Revenue, YOY</t>
  </si>
  <si>
    <t>Net Profit, YOY</t>
  </si>
  <si>
    <t>Malaysia</t>
  </si>
  <si>
    <t>Hong Kong</t>
  </si>
  <si>
    <t>Other countries</t>
  </si>
  <si>
    <t>Revenue Breakdown by Countries</t>
  </si>
  <si>
    <t>Revenue By Years (RM mn)</t>
  </si>
  <si>
    <t>cagr</t>
  </si>
  <si>
    <t>revenue</t>
  </si>
  <si>
    <t>profit</t>
  </si>
  <si>
    <t>margin</t>
  </si>
  <si>
    <t>Estimated Revenue By Years (RM mn)</t>
  </si>
  <si>
    <t>Estimated Revenue</t>
  </si>
  <si>
    <t>Estimated Net Profit</t>
  </si>
  <si>
    <t>CAGR</t>
  </si>
  <si>
    <t>Retention Ratio</t>
  </si>
  <si>
    <t>FY24 EPS (sen)</t>
  </si>
  <si>
    <t>EPS Gorwth Rate</t>
  </si>
  <si>
    <t>Bear Case</t>
  </si>
  <si>
    <t>Base Case</t>
  </si>
  <si>
    <t>Bull Case</t>
  </si>
  <si>
    <t>Scenario</t>
  </si>
  <si>
    <t>Scenario Table</t>
  </si>
  <si>
    <t>Bear</t>
  </si>
  <si>
    <t>Base</t>
  </si>
  <si>
    <t>Bull</t>
  </si>
  <si>
    <t>Scenario Analysis</t>
  </si>
  <si>
    <t>DCF Valuation (Average)</t>
  </si>
  <si>
    <t>Valuation Summary</t>
  </si>
  <si>
    <t>Upside/ Downside, %</t>
  </si>
  <si>
    <t>Dividend Yields</t>
  </si>
  <si>
    <t>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</si>
</sst>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-* #,##0.00_-;\-* #,##0.00_-;_-* &quot;-&quot;??_-;_-@_-"/>
    <numFmt numFmtId="165" formatCode="0&quot;A&quot;"/>
    <numFmt numFmtId="166" formatCode="0&quot;E&quot;"/>
    <numFmt numFmtId="167" formatCode="#,##0.0;\-#,##0.0"/>
    <numFmt numFmtId="168" formatCode="0.0%"/>
    <numFmt numFmtId="169" formatCode="_(* #,##0.00000000000_);_(* \(#,##0.00000000000\);_(* &quot;-&quot;??_);_(@_)"/>
    <numFmt numFmtId="170" formatCode="&quot;RM&quot;#,##0.00"/>
    <numFmt numFmtId="174" formatCode="0.0"/>
  </numFmts>
  <fonts count="2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1"/>
      <color rgb="FF000000"/>
      <name val="TimesNewRomanPS"/>
      <charset val="1"/>
    </font>
    <font>
      <i/>
      <sz val="11"/>
      <color rgb="FF000000"/>
      <name val="TimesNewRomanPSMT"/>
      <charset val="1"/>
    </font>
    <font>
      <i/>
      <sz val="11"/>
      <color theme="1"/>
      <name val="Aptos Narrow"/>
      <family val="2"/>
      <scheme val="minor"/>
    </font>
    <font>
      <sz val="11"/>
      <color rgb="FF0032FF"/>
      <name val="Aptos Narrow"/>
      <family val="2"/>
      <scheme val="minor"/>
    </font>
    <font>
      <i/>
      <sz val="11"/>
      <color rgb="FF0032FF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i/>
      <sz val="11"/>
      <color rgb="FF000000"/>
      <name val="Aptos Narrow"/>
      <family val="2"/>
      <scheme val="minor"/>
    </font>
    <font>
      <b/>
      <sz val="11"/>
      <color theme="1"/>
      <name val="Aptos Narrow"/>
      <scheme val="minor"/>
    </font>
    <font>
      <sz val="11"/>
      <color theme="1"/>
      <name val="Aptos Narrow"/>
      <family val="2"/>
      <scheme val="minor"/>
    </font>
    <font>
      <i/>
      <sz val="11"/>
      <color theme="1"/>
      <name val="Aptos Narrow"/>
      <scheme val="minor"/>
    </font>
    <font>
      <sz val="11"/>
      <color theme="1"/>
      <name val="Aptos Narrow"/>
      <scheme val="minor"/>
    </font>
    <font>
      <b/>
      <sz val="16"/>
      <color theme="1"/>
      <name val="Aptos Narrow"/>
      <scheme val="minor"/>
    </font>
    <font>
      <sz val="11"/>
      <color theme="0"/>
      <name val="Aptos Narrow"/>
      <family val="2"/>
      <scheme val="minor"/>
    </font>
    <font>
      <b/>
      <sz val="13"/>
      <color theme="1"/>
      <name val="Aptos Narrow"/>
      <scheme val="minor"/>
    </font>
    <font>
      <i/>
      <sz val="11"/>
      <color rgb="FF0032FF"/>
      <name val="Aptos Narrow"/>
      <scheme val="minor"/>
    </font>
    <font>
      <i/>
      <sz val="11"/>
      <name val="Aptos Narrow"/>
      <scheme val="minor"/>
    </font>
    <font>
      <sz val="1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1"/>
      <color rgb="FF0032FF"/>
      <name val="Aptos Narrow"/>
      <scheme val="minor"/>
    </font>
    <font>
      <b/>
      <sz val="11"/>
      <color rgb="FF000000"/>
      <name val="Aptos Narrow"/>
      <scheme val="minor"/>
    </font>
    <font>
      <sz val="11"/>
      <color rgb="FF000CF4"/>
      <name val="TimesNewRomanPSMT"/>
    </font>
    <font>
      <sz val="16"/>
      <color theme="0"/>
      <name val="Aptos Narrow"/>
      <family val="2"/>
      <scheme val="minor"/>
    </font>
    <font>
      <sz val="11"/>
      <color rgb="FF0032FF"/>
      <name val="Aptos Narrow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89999084444715716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rgb="FF000000"/>
      </top>
      <bottom style="double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double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</borders>
  <cellStyleXfs count="2">
    <xf numFmtId="0" fontId="0" fillId="0" borderId="0"/>
    <xf numFmtId="43" fontId="13" fillId="0" borderId="0" applyFont="0" applyFill="0" applyBorder="0" applyAlignment="0" applyProtection="0"/>
  </cellStyleXfs>
  <cellXfs count="204">
    <xf numFmtId="0" fontId="0" fillId="0" borderId="0" xfId="0"/>
    <xf numFmtId="0" fontId="0" fillId="2" borderId="0" xfId="0" applyFill="1"/>
    <xf numFmtId="165" fontId="0" fillId="0" borderId="1" xfId="0" applyNumberFormat="1" applyBorder="1"/>
    <xf numFmtId="166" fontId="0" fillId="0" borderId="1" xfId="0" applyNumberFormat="1" applyBorder="1"/>
    <xf numFmtId="3" fontId="0" fillId="0" borderId="0" xfId="0" applyNumberFormat="1"/>
    <xf numFmtId="39" fontId="0" fillId="0" borderId="0" xfId="0" applyNumberFormat="1"/>
    <xf numFmtId="0" fontId="1" fillId="0" borderId="0" xfId="0" applyFont="1"/>
    <xf numFmtId="39" fontId="1" fillId="0" borderId="2" xfId="0" applyNumberFormat="1" applyFont="1" applyBorder="1"/>
    <xf numFmtId="0" fontId="2" fillId="2" borderId="0" xfId="0" applyFont="1" applyFill="1"/>
    <xf numFmtId="0" fontId="3" fillId="2" borderId="0" xfId="0" applyFont="1" applyFill="1"/>
    <xf numFmtId="0" fontId="0" fillId="0" borderId="0" xfId="0" applyAlignment="1">
      <alignment horizontal="left" indent="1"/>
    </xf>
    <xf numFmtId="0" fontId="0" fillId="0" borderId="0" xfId="0" quotePrefix="1" applyAlignment="1">
      <alignment horizontal="left" indent="1"/>
    </xf>
    <xf numFmtId="0" fontId="4" fillId="0" borderId="0" xfId="0" applyFont="1" applyAlignment="1">
      <alignment wrapText="1"/>
    </xf>
    <xf numFmtId="39" fontId="1" fillId="0" borderId="3" xfId="0" applyNumberFormat="1" applyFont="1" applyBorder="1"/>
    <xf numFmtId="0" fontId="5" fillId="0" borderId="0" xfId="0" applyFont="1" applyAlignment="1">
      <alignment wrapText="1"/>
    </xf>
    <xf numFmtId="0" fontId="6" fillId="0" borderId="0" xfId="0" applyFont="1"/>
    <xf numFmtId="39" fontId="6" fillId="0" borderId="0" xfId="0" applyNumberFormat="1" applyFont="1"/>
    <xf numFmtId="167" fontId="6" fillId="0" borderId="0" xfId="0" applyNumberFormat="1" applyFont="1"/>
    <xf numFmtId="0" fontId="1" fillId="3" borderId="0" xfId="0" applyFont="1" applyFill="1"/>
    <xf numFmtId="0" fontId="0" fillId="3" borderId="0" xfId="0" applyFill="1"/>
    <xf numFmtId="39" fontId="0" fillId="3" borderId="4" xfId="0" applyNumberFormat="1" applyFill="1" applyBorder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6" fillId="0" borderId="0" xfId="0" applyFont="1" applyAlignment="1">
      <alignment horizontal="left" indent="1"/>
    </xf>
    <xf numFmtId="39" fontId="0" fillId="3" borderId="5" xfId="0" applyNumberFormat="1" applyFill="1" applyBorder="1"/>
    <xf numFmtId="3" fontId="0" fillId="0" borderId="6" xfId="0" applyNumberFormat="1" applyBorder="1"/>
    <xf numFmtId="165" fontId="0" fillId="0" borderId="0" xfId="0" applyNumberFormat="1"/>
    <xf numFmtId="166" fontId="0" fillId="0" borderId="0" xfId="0" applyNumberFormat="1"/>
    <xf numFmtId="0" fontId="0" fillId="0" borderId="0" xfId="0" applyAlignment="1">
      <alignment horizontal="left" indent="2"/>
    </xf>
    <xf numFmtId="0" fontId="0" fillId="0" borderId="0" xfId="0" quotePrefix="1" applyAlignment="1">
      <alignment horizontal="left" indent="3"/>
    </xf>
    <xf numFmtId="0" fontId="1" fillId="0" borderId="0" xfId="0" applyFont="1" applyAlignment="1">
      <alignment horizontal="left" indent="1"/>
    </xf>
    <xf numFmtId="0" fontId="1" fillId="0" borderId="0" xfId="0" applyFont="1" applyAlignment="1">
      <alignment horizontal="left" indent="2"/>
    </xf>
    <xf numFmtId="39" fontId="0" fillId="0" borderId="6" xfId="0" applyNumberFormat="1" applyBorder="1"/>
    <xf numFmtId="39" fontId="1" fillId="0" borderId="6" xfId="0" applyNumberFormat="1" applyFont="1" applyBorder="1"/>
    <xf numFmtId="39" fontId="1" fillId="0" borderId="0" xfId="0" applyNumberFormat="1" applyFont="1"/>
    <xf numFmtId="39" fontId="1" fillId="0" borderId="5" xfId="0" applyNumberFormat="1" applyFont="1" applyBorder="1"/>
    <xf numFmtId="39" fontId="7" fillId="0" borderId="0" xfId="0" applyNumberFormat="1" applyFont="1"/>
    <xf numFmtId="39" fontId="7" fillId="0" borderId="0" xfId="0" applyNumberFormat="1" applyFont="1" applyAlignment="1">
      <alignment vertical="center"/>
    </xf>
    <xf numFmtId="39" fontId="8" fillId="0" borderId="0" xfId="0" applyNumberFormat="1" applyFont="1"/>
    <xf numFmtId="165" fontId="9" fillId="0" borderId="1" xfId="0" applyNumberFormat="1" applyFont="1" applyBorder="1"/>
    <xf numFmtId="165" fontId="9" fillId="0" borderId="0" xfId="0" applyNumberFormat="1" applyFont="1"/>
    <xf numFmtId="0" fontId="0" fillId="0" borderId="0" xfId="0" quotePrefix="1" applyAlignment="1">
      <alignment horizontal="left" indent="2"/>
    </xf>
    <xf numFmtId="39" fontId="10" fillId="0" borderId="4" xfId="0" applyNumberFormat="1" applyFont="1" applyBorder="1"/>
    <xf numFmtId="39" fontId="9" fillId="0" borderId="0" xfId="0" applyNumberFormat="1" applyFont="1"/>
    <xf numFmtId="39" fontId="10" fillId="0" borderId="5" xfId="0" applyNumberFormat="1" applyFont="1" applyBorder="1"/>
    <xf numFmtId="39" fontId="10" fillId="0" borderId="0" xfId="0" applyNumberFormat="1" applyFont="1"/>
    <xf numFmtId="168" fontId="8" fillId="0" borderId="0" xfId="0" applyNumberFormat="1" applyFont="1"/>
    <xf numFmtId="168" fontId="6" fillId="0" borderId="0" xfId="0" applyNumberFormat="1" applyFont="1"/>
    <xf numFmtId="168" fontId="11" fillId="0" borderId="0" xfId="0" applyNumberFormat="1" applyFont="1"/>
    <xf numFmtId="0" fontId="6" fillId="0" borderId="0" xfId="0" quotePrefix="1" applyFont="1" applyAlignment="1">
      <alignment horizontal="left" indent="3"/>
    </xf>
    <xf numFmtId="0" fontId="3" fillId="4" borderId="0" xfId="0" applyFont="1" applyFill="1"/>
    <xf numFmtId="39" fontId="1" fillId="0" borderId="4" xfId="0" applyNumberFormat="1" applyFont="1" applyBorder="1"/>
    <xf numFmtId="0" fontId="6" fillId="0" borderId="0" xfId="0" applyFont="1" applyAlignment="1">
      <alignment horizontal="left" indent="2"/>
    </xf>
    <xf numFmtId="0" fontId="1" fillId="0" borderId="6" xfId="0" applyFont="1" applyBorder="1"/>
    <xf numFmtId="0" fontId="1" fillId="0" borderId="4" xfId="0" applyFont="1" applyBorder="1"/>
    <xf numFmtId="0" fontId="12" fillId="0" borderId="0" xfId="0" applyFont="1" applyAlignment="1">
      <alignment horizontal="left"/>
    </xf>
    <xf numFmtId="0" fontId="12" fillId="0" borderId="2" xfId="0" applyFont="1" applyBorder="1"/>
    <xf numFmtId="39" fontId="12" fillId="0" borderId="2" xfId="0" applyNumberFormat="1" applyFont="1" applyBorder="1"/>
    <xf numFmtId="9" fontId="0" fillId="0" borderId="0" xfId="0" applyNumberFormat="1"/>
    <xf numFmtId="168" fontId="14" fillId="0" borderId="0" xfId="0" applyNumberFormat="1" applyFont="1"/>
    <xf numFmtId="0" fontId="14" fillId="0" borderId="0" xfId="0" applyFont="1"/>
    <xf numFmtId="39" fontId="14" fillId="0" borderId="0" xfId="0" applyNumberFormat="1" applyFont="1"/>
    <xf numFmtId="0" fontId="14" fillId="0" borderId="0" xfId="0" applyFont="1" applyAlignment="1">
      <alignment horizontal="left" indent="1"/>
    </xf>
    <xf numFmtId="0" fontId="15" fillId="0" borderId="0" xfId="0" applyFont="1" applyAlignment="1">
      <alignment horizontal="left"/>
    </xf>
    <xf numFmtId="3" fontId="14" fillId="0" borderId="0" xfId="0" applyNumberFormat="1" applyFont="1" applyAlignment="1">
      <alignment horizontal="right"/>
    </xf>
    <xf numFmtId="43" fontId="14" fillId="0" borderId="0" xfId="1" applyFont="1" applyBorder="1"/>
    <xf numFmtId="0" fontId="14" fillId="0" borderId="0" xfId="0" quotePrefix="1" applyFont="1" applyAlignment="1">
      <alignment horizontal="left" indent="3"/>
    </xf>
    <xf numFmtId="0" fontId="14" fillId="0" borderId="0" xfId="0" quotePrefix="1" applyFont="1" applyAlignment="1">
      <alignment horizontal="left" indent="4"/>
    </xf>
    <xf numFmtId="39" fontId="0" fillId="0" borderId="0" xfId="0" applyNumberFormat="1" applyAlignment="1">
      <alignment vertical="center"/>
    </xf>
    <xf numFmtId="9" fontId="7" fillId="5" borderId="8" xfId="0" applyNumberFormat="1" applyFont="1" applyFill="1" applyBorder="1"/>
    <xf numFmtId="0" fontId="0" fillId="0" borderId="7" xfId="0" applyBorder="1"/>
    <xf numFmtId="0" fontId="16" fillId="0" borderId="7" xfId="0" applyFont="1" applyBorder="1"/>
    <xf numFmtId="0" fontId="17" fillId="0" borderId="0" xfId="0" applyFont="1"/>
    <xf numFmtId="0" fontId="12" fillId="0" borderId="0" xfId="0" applyFont="1"/>
    <xf numFmtId="0" fontId="3" fillId="2" borderId="9" xfId="0" applyFont="1" applyFill="1" applyBorder="1"/>
    <xf numFmtId="166" fontId="0" fillId="0" borderId="10" xfId="0" applyNumberFormat="1" applyBorder="1"/>
    <xf numFmtId="39" fontId="0" fillId="0" borderId="9" xfId="0" applyNumberFormat="1" applyBorder="1"/>
    <xf numFmtId="168" fontId="6" fillId="0" borderId="9" xfId="0" applyNumberFormat="1" applyFont="1" applyBorder="1"/>
    <xf numFmtId="39" fontId="1" fillId="0" borderId="11" xfId="0" applyNumberFormat="1" applyFont="1" applyBorder="1"/>
    <xf numFmtId="39" fontId="10" fillId="0" borderId="12" xfId="0" applyNumberFormat="1" applyFont="1" applyBorder="1"/>
    <xf numFmtId="39" fontId="1" fillId="0" borderId="9" xfId="0" applyNumberFormat="1" applyFont="1" applyBorder="1"/>
    <xf numFmtId="39" fontId="1" fillId="0" borderId="13" xfId="0" applyNumberFormat="1" applyFont="1" applyBorder="1"/>
    <xf numFmtId="39" fontId="6" fillId="0" borderId="9" xfId="0" applyNumberFormat="1" applyFont="1" applyBorder="1"/>
    <xf numFmtId="167" fontId="6" fillId="0" borderId="9" xfId="0" applyNumberFormat="1" applyFont="1" applyBorder="1"/>
    <xf numFmtId="39" fontId="10" fillId="0" borderId="14" xfId="0" applyNumberFormat="1" applyFont="1" applyBorder="1"/>
    <xf numFmtId="39" fontId="10" fillId="0" borderId="9" xfId="0" applyNumberFormat="1" applyFont="1" applyBorder="1"/>
    <xf numFmtId="39" fontId="0" fillId="3" borderId="12" xfId="0" applyNumberFormat="1" applyFill="1" applyBorder="1"/>
    <xf numFmtId="0" fontId="0" fillId="0" borderId="9" xfId="0" applyBorder="1"/>
    <xf numFmtId="3" fontId="0" fillId="0" borderId="9" xfId="0" applyNumberFormat="1" applyBorder="1"/>
    <xf numFmtId="39" fontId="0" fillId="3" borderId="14" xfId="0" applyNumberFormat="1" applyFill="1" applyBorder="1"/>
    <xf numFmtId="3" fontId="14" fillId="0" borderId="9" xfId="0" applyNumberFormat="1" applyFont="1" applyBorder="1" applyAlignment="1">
      <alignment horizontal="right"/>
    </xf>
    <xf numFmtId="166" fontId="0" fillId="0" borderId="9" xfId="0" applyNumberFormat="1" applyBorder="1"/>
    <xf numFmtId="3" fontId="0" fillId="0" borderId="15" xfId="0" applyNumberFormat="1" applyBorder="1"/>
    <xf numFmtId="39" fontId="9" fillId="0" borderId="9" xfId="0" applyNumberFormat="1" applyFont="1" applyBorder="1"/>
    <xf numFmtId="168" fontId="14" fillId="0" borderId="9" xfId="0" applyNumberFormat="1" applyFont="1" applyBorder="1"/>
    <xf numFmtId="39" fontId="1" fillId="0" borderId="15" xfId="0" applyNumberFormat="1" applyFont="1" applyBorder="1"/>
    <xf numFmtId="39" fontId="14" fillId="0" borderId="9" xfId="0" applyNumberFormat="1" applyFont="1" applyBorder="1"/>
    <xf numFmtId="39" fontId="1" fillId="0" borderId="14" xfId="0" applyNumberFormat="1" applyFont="1" applyBorder="1"/>
    <xf numFmtId="0" fontId="14" fillId="0" borderId="9" xfId="0" applyFont="1" applyBorder="1"/>
    <xf numFmtId="9" fontId="7" fillId="0" borderId="0" xfId="0" applyNumberFormat="1" applyFont="1"/>
    <xf numFmtId="39" fontId="7" fillId="0" borderId="9" xfId="0" applyNumberFormat="1" applyFont="1" applyBorder="1"/>
    <xf numFmtId="9" fontId="14" fillId="0" borderId="0" xfId="0" applyNumberFormat="1" applyFont="1"/>
    <xf numFmtId="9" fontId="14" fillId="0" borderId="16" xfId="0" applyNumberFormat="1" applyFont="1" applyBorder="1"/>
    <xf numFmtId="0" fontId="12" fillId="0" borderId="0" xfId="0" applyFont="1" applyAlignment="1">
      <alignment vertical="top" wrapText="1"/>
    </xf>
    <xf numFmtId="0" fontId="12" fillId="0" borderId="22" xfId="0" applyFont="1" applyBorder="1"/>
    <xf numFmtId="10" fontId="0" fillId="0" borderId="0" xfId="0" applyNumberFormat="1"/>
    <xf numFmtId="10" fontId="0" fillId="5" borderId="21" xfId="0" applyNumberFormat="1" applyFill="1" applyBorder="1"/>
    <xf numFmtId="39" fontId="7" fillId="0" borderId="9" xfId="0" applyNumberFormat="1" applyFont="1" applyBorder="1" applyAlignment="1">
      <alignment vertical="center"/>
    </xf>
    <xf numFmtId="39" fontId="19" fillId="0" borderId="0" xfId="0" applyNumberFormat="1" applyFont="1"/>
    <xf numFmtId="168" fontId="8" fillId="0" borderId="9" xfId="0" applyNumberFormat="1" applyFont="1" applyBorder="1"/>
    <xf numFmtId="168" fontId="19" fillId="0" borderId="0" xfId="0" applyNumberFormat="1" applyFont="1"/>
    <xf numFmtId="168" fontId="20" fillId="0" borderId="0" xfId="0" applyNumberFormat="1" applyFont="1"/>
    <xf numFmtId="169" fontId="14" fillId="0" borderId="9" xfId="1" applyNumberFormat="1" applyFont="1" applyBorder="1"/>
    <xf numFmtId="39" fontId="20" fillId="0" borderId="0" xfId="0" applyNumberFormat="1" applyFont="1"/>
    <xf numFmtId="39" fontId="21" fillId="0" borderId="0" xfId="0" applyNumberFormat="1" applyFont="1"/>
    <xf numFmtId="39" fontId="21" fillId="0" borderId="9" xfId="0" applyNumberFormat="1" applyFont="1" applyBorder="1"/>
    <xf numFmtId="9" fontId="12" fillId="3" borderId="0" xfId="0" applyNumberFormat="1" applyFont="1" applyFill="1" applyAlignment="1">
      <alignment horizontal="right"/>
    </xf>
    <xf numFmtId="0" fontId="22" fillId="0" borderId="25" xfId="0" applyFont="1" applyBorder="1"/>
    <xf numFmtId="0" fontId="0" fillId="0" borderId="25" xfId="0" applyBorder="1"/>
    <xf numFmtId="0" fontId="1" fillId="0" borderId="1" xfId="0" applyFont="1" applyBorder="1"/>
    <xf numFmtId="0" fontId="0" fillId="0" borderId="1" xfId="0" applyBorder="1"/>
    <xf numFmtId="168" fontId="7" fillId="0" borderId="0" xfId="0" applyNumberFormat="1" applyFont="1"/>
    <xf numFmtId="15" fontId="0" fillId="0" borderId="0" xfId="0" applyNumberFormat="1"/>
    <xf numFmtId="0" fontId="1" fillId="0" borderId="25" xfId="0" applyFont="1" applyBorder="1" applyAlignment="1">
      <alignment horizontal="right"/>
    </xf>
    <xf numFmtId="14" fontId="0" fillId="0" borderId="0" xfId="0" applyNumberFormat="1"/>
    <xf numFmtId="0" fontId="0" fillId="0" borderId="6" xfId="0" applyBorder="1"/>
    <xf numFmtId="4" fontId="0" fillId="0" borderId="0" xfId="0" applyNumberFormat="1"/>
    <xf numFmtId="4" fontId="0" fillId="0" borderId="6" xfId="0" applyNumberFormat="1" applyBorder="1"/>
    <xf numFmtId="14" fontId="7" fillId="0" borderId="0" xfId="0" applyNumberFormat="1" applyFont="1"/>
    <xf numFmtId="168" fontId="9" fillId="0" borderId="0" xfId="0" applyNumberFormat="1" applyFont="1" applyAlignment="1">
      <alignment wrapText="1"/>
    </xf>
    <xf numFmtId="168" fontId="9" fillId="5" borderId="26" xfId="0" applyNumberFormat="1" applyFont="1" applyFill="1" applyBorder="1" applyAlignment="1">
      <alignment wrapText="1"/>
    </xf>
    <xf numFmtId="39" fontId="0" fillId="5" borderId="26" xfId="0" applyNumberFormat="1" applyFill="1" applyBorder="1"/>
    <xf numFmtId="164" fontId="0" fillId="0" borderId="0" xfId="0" applyNumberFormat="1"/>
    <xf numFmtId="164" fontId="0" fillId="0" borderId="6" xfId="0" applyNumberFormat="1" applyBorder="1"/>
    <xf numFmtId="164" fontId="1" fillId="0" borderId="6" xfId="0" applyNumberFormat="1" applyFont="1" applyBorder="1"/>
    <xf numFmtId="164" fontId="1" fillId="0" borderId="0" xfId="0" applyNumberFormat="1" applyFont="1"/>
    <xf numFmtId="164" fontId="6" fillId="0" borderId="0" xfId="0" applyNumberFormat="1" applyFont="1"/>
    <xf numFmtId="39" fontId="23" fillId="0" borderId="0" xfId="0" applyNumberFormat="1" applyFont="1"/>
    <xf numFmtId="39" fontId="19" fillId="0" borderId="9" xfId="0" applyNumberFormat="1" applyFont="1" applyBorder="1"/>
    <xf numFmtId="168" fontId="20" fillId="0" borderId="9" xfId="0" applyNumberFormat="1" applyFont="1" applyBorder="1"/>
    <xf numFmtId="0" fontId="14" fillId="0" borderId="0" xfId="0" quotePrefix="1" applyFont="1" applyAlignment="1">
      <alignment horizontal="left" indent="2"/>
    </xf>
    <xf numFmtId="168" fontId="0" fillId="0" borderId="0" xfId="0" applyNumberFormat="1"/>
    <xf numFmtId="165" fontId="24" fillId="0" borderId="0" xfId="0" applyNumberFormat="1" applyFont="1" applyAlignment="1">
      <alignment horizontal="right"/>
    </xf>
    <xf numFmtId="166" fontId="24" fillId="0" borderId="0" xfId="0" applyNumberFormat="1" applyFont="1" applyAlignment="1">
      <alignment horizontal="right"/>
    </xf>
    <xf numFmtId="2" fontId="0" fillId="0" borderId="0" xfId="0" applyNumberFormat="1"/>
    <xf numFmtId="0" fontId="0" fillId="0" borderId="0" xfId="0" applyAlignment="1">
      <alignment horizontal="right"/>
    </xf>
    <xf numFmtId="43" fontId="0" fillId="0" borderId="0" xfId="0" applyNumberFormat="1"/>
    <xf numFmtId="0" fontId="0" fillId="0" borderId="27" xfId="0" applyBorder="1"/>
    <xf numFmtId="0" fontId="16" fillId="0" borderId="27" xfId="0" applyFont="1" applyBorder="1"/>
    <xf numFmtId="3" fontId="25" fillId="0" borderId="0" xfId="0" applyNumberFormat="1" applyFont="1"/>
    <xf numFmtId="39" fontId="7" fillId="0" borderId="16" xfId="0" applyNumberFormat="1" applyFont="1" applyBorder="1"/>
    <xf numFmtId="43" fontId="0" fillId="0" borderId="0" xfId="1" applyFont="1"/>
    <xf numFmtId="4" fontId="0" fillId="0" borderId="9" xfId="0" applyNumberFormat="1" applyBorder="1"/>
    <xf numFmtId="0" fontId="0" fillId="0" borderId="0" xfId="0" quotePrefix="1" applyAlignment="1">
      <alignment horizontal="left" vertical="center" wrapText="1" indent="1"/>
    </xf>
    <xf numFmtId="0" fontId="15" fillId="0" borderId="0" xfId="0" applyFont="1" applyAlignment="1">
      <alignment horizontal="left" indent="1"/>
    </xf>
    <xf numFmtId="0" fontId="26" fillId="2" borderId="0" xfId="0" applyFont="1" applyFill="1" applyAlignment="1">
      <alignment horizontal="right"/>
    </xf>
    <xf numFmtId="0" fontId="12" fillId="0" borderId="27" xfId="0" applyFont="1" applyBorder="1"/>
    <xf numFmtId="0" fontId="26" fillId="6" borderId="0" xfId="0" applyFont="1" applyFill="1" applyAlignment="1">
      <alignment horizontal="center"/>
    </xf>
    <xf numFmtId="168" fontId="0" fillId="0" borderId="9" xfId="0" applyNumberFormat="1" applyBorder="1"/>
    <xf numFmtId="168" fontId="27" fillId="0" borderId="9" xfId="0" applyNumberFormat="1" applyFont="1" applyBorder="1"/>
    <xf numFmtId="168" fontId="27" fillId="0" borderId="0" xfId="0" applyNumberFormat="1" applyFont="1"/>
    <xf numFmtId="168" fontId="15" fillId="0" borderId="0" xfId="0" applyNumberFormat="1" applyFont="1"/>
    <xf numFmtId="168" fontId="15" fillId="0" borderId="9" xfId="0" applyNumberFormat="1" applyFont="1" applyBorder="1"/>
    <xf numFmtId="170" fontId="0" fillId="0" borderId="0" xfId="0" applyNumberFormat="1" applyAlignment="1">
      <alignment horizontal="right"/>
    </xf>
    <xf numFmtId="168" fontId="14" fillId="0" borderId="0" xfId="1" applyNumberFormat="1" applyFont="1"/>
    <xf numFmtId="0" fontId="15" fillId="0" borderId="27" xfId="0" applyFont="1" applyBorder="1" applyAlignment="1">
      <alignment horizontal="right"/>
    </xf>
    <xf numFmtId="0" fontId="18" fillId="0" borderId="17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0" fillId="0" borderId="20" xfId="0" applyBorder="1" applyAlignment="1">
      <alignment horizontal="left" vertical="top" wrapText="1"/>
    </xf>
    <xf numFmtId="0" fontId="12" fillId="0" borderId="23" xfId="0" applyFont="1" applyBorder="1" applyAlignment="1">
      <alignment horizontal="center"/>
    </xf>
    <xf numFmtId="0" fontId="12" fillId="0" borderId="24" xfId="0" applyFont="1" applyBorder="1" applyAlignment="1">
      <alignment horizontal="center"/>
    </xf>
    <xf numFmtId="39" fontId="0" fillId="0" borderId="0" xfId="0" applyNumberFormat="1" applyBorder="1"/>
    <xf numFmtId="165" fontId="0" fillId="7" borderId="28" xfId="0" applyNumberFormat="1" applyFill="1" applyBorder="1"/>
    <xf numFmtId="39" fontId="7" fillId="7" borderId="29" xfId="0" applyNumberFormat="1" applyFont="1" applyFill="1" applyBorder="1"/>
    <xf numFmtId="39" fontId="0" fillId="7" borderId="29" xfId="0" applyNumberFormat="1" applyFill="1" applyBorder="1"/>
    <xf numFmtId="3" fontId="25" fillId="7" borderId="29" xfId="0" applyNumberFormat="1" applyFont="1" applyFill="1" applyBorder="1"/>
    <xf numFmtId="168" fontId="14" fillId="7" borderId="29" xfId="0" applyNumberFormat="1" applyFont="1" applyFill="1" applyBorder="1"/>
    <xf numFmtId="39" fontId="1" fillId="7" borderId="30" xfId="0" applyNumberFormat="1" applyFont="1" applyFill="1" applyBorder="1"/>
    <xf numFmtId="168" fontId="6" fillId="7" borderId="29" xfId="0" applyNumberFormat="1" applyFont="1" applyFill="1" applyBorder="1"/>
    <xf numFmtId="168" fontId="11" fillId="7" borderId="29" xfId="0" applyNumberFormat="1" applyFont="1" applyFill="1" applyBorder="1"/>
    <xf numFmtId="39" fontId="10" fillId="7" borderId="31" xfId="0" applyNumberFormat="1" applyFont="1" applyFill="1" applyBorder="1"/>
    <xf numFmtId="39" fontId="1" fillId="7" borderId="29" xfId="0" applyNumberFormat="1" applyFont="1" applyFill="1" applyBorder="1"/>
    <xf numFmtId="0" fontId="0" fillId="7" borderId="29" xfId="0" applyFill="1" applyBorder="1"/>
    <xf numFmtId="39" fontId="1" fillId="7" borderId="32" xfId="0" applyNumberFormat="1" applyFont="1" applyFill="1" applyBorder="1"/>
    <xf numFmtId="39" fontId="6" fillId="7" borderId="29" xfId="0" applyNumberFormat="1" applyFont="1" applyFill="1" applyBorder="1"/>
    <xf numFmtId="167" fontId="6" fillId="7" borderId="29" xfId="0" applyNumberFormat="1" applyFont="1" applyFill="1" applyBorder="1"/>
    <xf numFmtId="9" fontId="14" fillId="7" borderId="33" xfId="0" applyNumberFormat="1" applyFont="1" applyFill="1" applyBorder="1"/>
    <xf numFmtId="39" fontId="7" fillId="7" borderId="29" xfId="0" applyNumberFormat="1" applyFont="1" applyFill="1" applyBorder="1" applyAlignment="1">
      <alignment vertical="center"/>
    </xf>
    <xf numFmtId="0" fontId="0" fillId="0" borderId="0" xfId="0" applyBorder="1"/>
    <xf numFmtId="3" fontId="0" fillId="0" borderId="0" xfId="0" applyNumberFormat="1" applyBorder="1"/>
    <xf numFmtId="3" fontId="14" fillId="0" borderId="0" xfId="0" applyNumberFormat="1" applyFont="1" applyBorder="1" applyAlignment="1">
      <alignment horizontal="right"/>
    </xf>
    <xf numFmtId="169" fontId="14" fillId="0" borderId="0" xfId="1" applyNumberFormat="1" applyFont="1" applyBorder="1"/>
    <xf numFmtId="39" fontId="21" fillId="7" borderId="29" xfId="0" applyNumberFormat="1" applyFont="1" applyFill="1" applyBorder="1"/>
    <xf numFmtId="39" fontId="10" fillId="7" borderId="34" xfId="0" applyNumberFormat="1" applyFont="1" applyFill="1" applyBorder="1"/>
    <xf numFmtId="39" fontId="10" fillId="7" borderId="29" xfId="0" applyNumberFormat="1" applyFont="1" applyFill="1" applyBorder="1"/>
    <xf numFmtId="39" fontId="0" fillId="7" borderId="31" xfId="0" applyNumberFormat="1" applyFill="1" applyBorder="1"/>
    <xf numFmtId="4" fontId="0" fillId="7" borderId="29" xfId="0" applyNumberFormat="1" applyFill="1" applyBorder="1"/>
    <xf numFmtId="3" fontId="0" fillId="7" borderId="29" xfId="0" applyNumberFormat="1" applyFill="1" applyBorder="1"/>
    <xf numFmtId="39" fontId="0" fillId="7" borderId="35" xfId="0" applyNumberFormat="1" applyFill="1" applyBorder="1"/>
    <xf numFmtId="174" fontId="0" fillId="0" borderId="0" xfId="0" applyNumberFormat="1"/>
    <xf numFmtId="0" fontId="12" fillId="0" borderId="0" xfId="0" applyFont="1" applyBorder="1"/>
    <xf numFmtId="165" fontId="24" fillId="0" borderId="0" xfId="0" applyNumberFormat="1" applyFont="1" applyBorder="1" applyAlignment="1">
      <alignment horizontal="right"/>
    </xf>
    <xf numFmtId="166" fontId="24" fillId="0" borderId="0" xfId="0" applyNumberFormat="1" applyFont="1" applyBorder="1" applyAlignment="1">
      <alignment horizontal="right"/>
    </xf>
  </cellXfs>
  <cellStyles count="2">
    <cellStyle name="Comma" xfId="1" builtinId="3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0032F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Revenue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Analysis!$B$20:$I$20</c:f>
              <c:numCache>
                <c:formatCode>General</c:formatCode>
                <c:ptCount val="8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  <c:pt idx="7">
                  <c:v>2023</c:v>
                </c:pt>
              </c:numCache>
            </c:numRef>
          </c:cat>
          <c:val>
            <c:numRef>
              <c:f>Analysis!$B$21:$I$21</c:f>
              <c:numCache>
                <c:formatCode>_(* #,##0.00_);_(* \(#,##0.00\);_(* "-"??_);_(@_)</c:formatCode>
                <c:ptCount val="8"/>
                <c:pt idx="0">
                  <c:v>18840000</c:v>
                </c:pt>
                <c:pt idx="1">
                  <c:v>20580000</c:v>
                </c:pt>
                <c:pt idx="2">
                  <c:v>21840000</c:v>
                </c:pt>
                <c:pt idx="3">
                  <c:v>22720000</c:v>
                </c:pt>
                <c:pt idx="4">
                  <c:v>25540000</c:v>
                </c:pt>
                <c:pt idx="5">
                  <c:v>25220000</c:v>
                </c:pt>
                <c:pt idx="6">
                  <c:v>26200000</c:v>
                </c:pt>
                <c:pt idx="7">
                  <c:v>27300000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29-9D4E-8D79-342327CCA0BA}"/>
            </c:ext>
          </c:extLst>
        </c:ser>
        <c:ser>
          <c:idx val="1"/>
          <c:order val="1"/>
          <c:tx>
            <c:v>Net Profit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4A2048A-7B89-FE46-A792-73CFA21465C0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E29-9D4E-8D79-342327CCA0B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5EF96E1-92FA-B349-A571-22CD771B72A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E29-9D4E-8D79-342327CCA0B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1F3A9B6-E475-D14F-B1E8-D7A0C1F2AB7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E29-9D4E-8D79-342327CCA0B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5BB3D5E-D228-754E-A825-DE1B0E5C1C4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E29-9D4E-8D79-342327CCA0B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AAF02C1-C89B-AE46-B7ED-28D709F4BD5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E29-9D4E-8D79-342327CCA0B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87626D8-0738-3044-925C-B6A9779E1B1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E29-9D4E-8D79-342327CCA0B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0ECC338-19E9-9349-A1DB-1DC41FFC583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E29-9D4E-8D79-342327CCA0B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D88EEAA-37A2-F343-A772-0289543709B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E29-9D4E-8D79-342327CCA0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val>
            <c:numRef>
              <c:f>Analysis!$B$22:$I$22</c:f>
              <c:numCache>
                <c:formatCode>_(* #,##0.00_);_(* \(#,##0.00\);_(* "-"??_);_(@_)</c:formatCode>
                <c:ptCount val="8"/>
                <c:pt idx="0">
                  <c:v>6860000</c:v>
                </c:pt>
                <c:pt idx="1">
                  <c:v>7550000</c:v>
                </c:pt>
                <c:pt idx="2">
                  <c:v>7860000</c:v>
                </c:pt>
                <c:pt idx="3">
                  <c:v>7890000</c:v>
                </c:pt>
                <c:pt idx="4">
                  <c:v>9520000</c:v>
                </c:pt>
                <c:pt idx="5">
                  <c:v>9890000</c:v>
                </c:pt>
                <c:pt idx="6">
                  <c:v>9100000</c:v>
                </c:pt>
                <c:pt idx="7">
                  <c:v>11010000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Analysis!$B$23:$I$23</c15:f>
                <c15:dlblRangeCache>
                  <c:ptCount val="8"/>
                  <c:pt idx="0">
                    <c:v>36%</c:v>
                  </c:pt>
                  <c:pt idx="1">
                    <c:v>37%</c:v>
                  </c:pt>
                  <c:pt idx="2">
                    <c:v>36%</c:v>
                  </c:pt>
                  <c:pt idx="3">
                    <c:v>35%</c:v>
                  </c:pt>
                  <c:pt idx="4">
                    <c:v>37%</c:v>
                  </c:pt>
                  <c:pt idx="5">
                    <c:v>39%</c:v>
                  </c:pt>
                  <c:pt idx="6">
                    <c:v>35%</c:v>
                  </c:pt>
                  <c:pt idx="7">
                    <c:v>40%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9E29-9D4E-8D79-342327CCA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8017248"/>
        <c:axId val="148018976"/>
      </c:barChart>
      <c:catAx>
        <c:axId val="148017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18976"/>
        <c:crosses val="autoZero"/>
        <c:auto val="1"/>
        <c:lblAlgn val="ctr"/>
        <c:lblOffset val="100"/>
        <c:noMultiLvlLbl val="0"/>
      </c:catAx>
      <c:valAx>
        <c:axId val="148018976"/>
        <c:scaling>
          <c:orientation val="minMax"/>
        </c:scaling>
        <c:delete val="0"/>
        <c:axPos val="l"/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17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Revenue</a:t>
            </a:r>
            <a:r>
              <a:rPr lang="en-GB" b="1" baseline="0"/>
              <a:t> Breakdown by Countries in 2022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E04-974E-B50E-D4B31AC83D1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E04-974E-B50E-D4B31AC83D1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E04-974E-B50E-D4B31AC83D1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Analysis!$B$4:$B$6</c:f>
              <c:strCache>
                <c:ptCount val="3"/>
                <c:pt idx="0">
                  <c:v>Malaysia</c:v>
                </c:pt>
                <c:pt idx="1">
                  <c:v>Hong Kong</c:v>
                </c:pt>
                <c:pt idx="2">
                  <c:v>Other countries</c:v>
                </c:pt>
              </c:strCache>
            </c:strRef>
          </c:cat>
          <c:val>
            <c:numRef>
              <c:f>Analysis!$C$4:$C$6</c:f>
              <c:numCache>
                <c:formatCode>#,##0.00_);\(#,##0.00\)</c:formatCode>
                <c:ptCount val="3"/>
                <c:pt idx="0">
                  <c:v>22052435</c:v>
                </c:pt>
                <c:pt idx="1">
                  <c:v>3685793</c:v>
                </c:pt>
                <c:pt idx="2">
                  <c:v>465014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DD-5440-ADAA-9FDD2CA0D82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Revenue</a:t>
            </a:r>
            <a:r>
              <a:rPr lang="en-GB" b="1" baseline="0"/>
              <a:t> Breakdown by Countries in 2023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Analysis!$B$4:$B$6</c:f>
              <c:strCache>
                <c:ptCount val="3"/>
                <c:pt idx="0">
                  <c:v>Malaysia</c:v>
                </c:pt>
                <c:pt idx="1">
                  <c:v>Hong Kong</c:v>
                </c:pt>
                <c:pt idx="2">
                  <c:v>Other countries</c:v>
                </c:pt>
              </c:strCache>
            </c:strRef>
          </c:cat>
          <c:val>
            <c:numRef>
              <c:f>Analysis!$D$4:$D$6</c:f>
              <c:numCache>
                <c:formatCode>#,##0.00_);\(#,##0.00\)</c:formatCode>
                <c:ptCount val="3"/>
                <c:pt idx="0">
                  <c:v>22405979</c:v>
                </c:pt>
                <c:pt idx="1">
                  <c:v>4395025</c:v>
                </c:pt>
                <c:pt idx="2">
                  <c:v>494264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F3-BE46-8BC9-F4C2DC68478E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1F3-BE46-8BC9-F4C2DC68478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1F3-BE46-8BC9-F4C2DC68478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1F3-BE46-8BC9-F4C2DC68478E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Analysis!$B$4:$B$6</c:f>
              <c:strCache>
                <c:ptCount val="3"/>
                <c:pt idx="0">
                  <c:v>Malaysia</c:v>
                </c:pt>
                <c:pt idx="1">
                  <c:v>Hong Kong</c:v>
                </c:pt>
                <c:pt idx="2">
                  <c:v>Other countries</c:v>
                </c:pt>
              </c:strCache>
            </c:strRef>
          </c:cat>
          <c:val>
            <c:numRef>
              <c:f>Analysis!$C$4:$C$6</c:f>
              <c:numCache>
                <c:formatCode>#,##0.00_);\(#,##0.00\)</c:formatCode>
                <c:ptCount val="3"/>
                <c:pt idx="0">
                  <c:v>22052435</c:v>
                </c:pt>
                <c:pt idx="1">
                  <c:v>3685793</c:v>
                </c:pt>
                <c:pt idx="2">
                  <c:v>465014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F3-BE46-8BC9-F4C2DC68478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Analysis!$B$40</c:f>
              <c:strCache>
                <c:ptCount val="1"/>
                <c:pt idx="0">
                  <c:v>Estimated Revenue</c:v>
                </c:pt>
              </c:strCache>
            </c:strRef>
          </c:tx>
          <c:spPr>
            <a:solidFill>
              <a:schemeClr val="accent1">
                <a:alpha val="46000"/>
              </a:schemeClr>
            </a:solidFill>
            <a:ln>
              <a:solidFill>
                <a:schemeClr val="accent1">
                  <a:alpha val="48469"/>
                </a:schemeClr>
              </a:solidFill>
            </a:ln>
            <a:effectLst/>
          </c:spPr>
          <c:invertIfNegative val="0"/>
          <c:cat>
            <c:numRef>
              <c:f>Analysis!$C$39:$G$39</c:f>
              <c:numCache>
                <c:formatCode>0"E"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Analysis!$C$40:$G$40</c:f>
              <c:numCache>
                <c:formatCode>#,##0.00_);\(#,##0.00\)</c:formatCode>
                <c:ptCount val="5"/>
                <c:pt idx="0">
                  <c:v>32208416.239999998</c:v>
                </c:pt>
                <c:pt idx="1">
                  <c:v>38650099.487999998</c:v>
                </c:pt>
                <c:pt idx="2">
                  <c:v>46380119.385599993</c:v>
                </c:pt>
                <c:pt idx="3">
                  <c:v>53337137.293439984</c:v>
                </c:pt>
                <c:pt idx="4">
                  <c:v>61337707.887455977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A4-094D-A464-29D56CFB3558}"/>
            </c:ext>
          </c:extLst>
        </c:ser>
        <c:ser>
          <c:idx val="1"/>
          <c:order val="1"/>
          <c:tx>
            <c:strRef>
              <c:f>Analysis!$B$41</c:f>
              <c:strCache>
                <c:ptCount val="1"/>
                <c:pt idx="0">
                  <c:v>Estimated Net Profit</c:v>
                </c:pt>
              </c:strCache>
            </c:strRef>
          </c:tx>
          <c:spPr>
            <a:solidFill>
              <a:schemeClr val="accent2">
                <a:alpha val="3866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A60E14C-68AB-AE4A-BC7E-83DF9C76D85A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AA4-094D-A464-29D56CFB355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F87A2D-FF7A-C14B-B848-06E91F6E531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AA4-094D-A464-29D56CFB355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89EA179-37C7-6046-9828-B78CD23515B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AA4-094D-A464-29D56CFB355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A7260A-4568-C94F-B266-670EA0E3AFA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AA4-094D-A464-29D56CFB355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3187660-AC1E-7343-A1BB-77C316D7A0E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AA4-094D-A464-29D56CFB35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Analysis!$C$39:$G$39</c:f>
              <c:numCache>
                <c:formatCode>0"E"</c:formatCode>
                <c:ptCount val="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</c:numCache>
            </c:numRef>
          </c:cat>
          <c:val>
            <c:numRef>
              <c:f>Analysis!$C$41:$G$41</c:f>
              <c:numCache>
                <c:formatCode>#,##0.00_);\(#,##0.00\)</c:formatCode>
                <c:ptCount val="5"/>
                <c:pt idx="0">
                  <c:v>12530822.662288314</c:v>
                </c:pt>
                <c:pt idx="1">
                  <c:v>15053633.099157689</c:v>
                </c:pt>
                <c:pt idx="2">
                  <c:v>18077033.799551833</c:v>
                </c:pt>
                <c:pt idx="3">
                  <c:v>20735420.197185554</c:v>
                </c:pt>
                <c:pt idx="4">
                  <c:v>23783009.987206377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Analysis!$C$42:$G$42</c15:f>
                <c15:dlblRangeCache>
                  <c:ptCount val="5"/>
                  <c:pt idx="0">
                    <c:v>38.9%</c:v>
                  </c:pt>
                  <c:pt idx="1">
                    <c:v>38.9%</c:v>
                  </c:pt>
                  <c:pt idx="2">
                    <c:v>39.0%</c:v>
                  </c:pt>
                  <c:pt idx="3">
                    <c:v>38.9%</c:v>
                  </c:pt>
                  <c:pt idx="4">
                    <c:v>38.8%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2AA4-094D-A464-29D56CFB35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3703855"/>
        <c:axId val="1701080415"/>
      </c:barChart>
      <c:catAx>
        <c:axId val="1933703855"/>
        <c:scaling>
          <c:orientation val="minMax"/>
        </c:scaling>
        <c:delete val="0"/>
        <c:axPos val="b"/>
        <c:numFmt formatCode="0&quot;E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1080415"/>
        <c:crosses val="autoZero"/>
        <c:auto val="1"/>
        <c:lblAlgn val="ctr"/>
        <c:lblOffset val="100"/>
        <c:noMultiLvlLbl val="0"/>
      </c:catAx>
      <c:valAx>
        <c:axId val="1701080415"/>
        <c:scaling>
          <c:orientation val="minMax"/>
        </c:scaling>
        <c:delete val="0"/>
        <c:axPos val="l"/>
        <c:numFmt formatCode="#,##0.00_);\(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3703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Modelling!$B$212</c:f>
              <c:strCache>
                <c:ptCount val="1"/>
                <c:pt idx="0">
                  <c:v>Dividend Yields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Modelling!$C$211:$J$211</c:f>
              <c:numCache>
                <c:formatCode>General</c:formatCode>
                <c:ptCount val="8"/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</c:numCache>
            </c:numRef>
          </c:cat>
          <c:val>
            <c:numRef>
              <c:f>Modelling!$C$212:$J$212</c:f>
              <c:numCache>
                <c:formatCode>0.0%</c:formatCode>
                <c:ptCount val="8"/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5.33E-2</c:v>
                </c:pt>
                <c:pt idx="5">
                  <c:v>5.33E-2</c:v>
                </c:pt>
                <c:pt idx="6">
                  <c:v>5.33E-2</c:v>
                </c:pt>
                <c:pt idx="7">
                  <c:v>5.6818181818181823E-2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3E-F84A-990E-09F5F5198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906384"/>
        <c:axId val="140908096"/>
      </c:lineChart>
      <c:catAx>
        <c:axId val="14090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908096"/>
        <c:crosses val="autoZero"/>
        <c:auto val="1"/>
        <c:lblAlgn val="ctr"/>
        <c:lblOffset val="100"/>
        <c:noMultiLvlLbl val="0"/>
      </c:catAx>
      <c:valAx>
        <c:axId val="140908096"/>
        <c:scaling>
          <c:orientation val="minMax"/>
          <c:min val="0.03"/>
        </c:scaling>
        <c:delete val="0"/>
        <c:axPos val="l"/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906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144320</xdr:colOff>
      <xdr:row>19</xdr:row>
      <xdr:rowOff>57147</xdr:rowOff>
    </xdr:from>
    <xdr:to>
      <xdr:col>8</xdr:col>
      <xdr:colOff>1049676</xdr:colOff>
      <xdr:row>33</xdr:row>
      <xdr:rowOff>106408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011A47F-B59F-741C-10E0-3F66E9AB9C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162317</xdr:colOff>
      <xdr:row>2</xdr:row>
      <xdr:rowOff>30833</xdr:rowOff>
    </xdr:from>
    <xdr:to>
      <xdr:col>6</xdr:col>
      <xdr:colOff>414959</xdr:colOff>
      <xdr:row>16</xdr:row>
      <xdr:rowOff>111787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34EBAC-7848-9D2A-442F-682917F969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461140</xdr:colOff>
      <xdr:row>2</xdr:row>
      <xdr:rowOff>24040</xdr:rowOff>
    </xdr:from>
    <xdr:to>
      <xdr:col>12</xdr:col>
      <xdr:colOff>61803</xdr:colOff>
      <xdr:row>16</xdr:row>
      <xdr:rowOff>104994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D4B66B7-A1ED-64FD-0FC8-C02E6DCDE6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317500</xdr:colOff>
      <xdr:row>20</xdr:row>
      <xdr:rowOff>28864</xdr:rowOff>
    </xdr:from>
    <xdr:to>
      <xdr:col>7</xdr:col>
      <xdr:colOff>817803</xdr:colOff>
      <xdr:row>23</xdr:row>
      <xdr:rowOff>28864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FF82A8A8-9634-A2D0-4D44-ABDE9694EA5B}"/>
            </a:ext>
          </a:extLst>
        </xdr:cNvPr>
        <xdr:cNvCxnSpPr/>
      </xdr:nvCxnSpPr>
      <xdr:spPr>
        <a:xfrm flipV="1">
          <a:off x="1549015" y="3983182"/>
          <a:ext cx="5791970" cy="577273"/>
        </a:xfrm>
        <a:prstGeom prst="straightConnector1">
          <a:avLst/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384848</xdr:colOff>
      <xdr:row>19</xdr:row>
      <xdr:rowOff>153940</xdr:rowOff>
    </xdr:from>
    <xdr:to>
      <xdr:col>5</xdr:col>
      <xdr:colOff>509925</xdr:colOff>
      <xdr:row>21</xdr:row>
      <xdr:rowOff>105835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887BC438-6CB2-C961-9697-BEA9526F23CC}"/>
            </a:ext>
          </a:extLst>
        </xdr:cNvPr>
        <xdr:cNvSpPr txBox="1"/>
      </xdr:nvSpPr>
      <xdr:spPr>
        <a:xfrm rot="21314104">
          <a:off x="3733030" y="3915834"/>
          <a:ext cx="1183410" cy="33674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600"/>
            <a:t>CAGR 5.4%</a:t>
          </a:r>
        </a:p>
      </xdr:txBody>
    </xdr:sp>
    <xdr:clientData/>
  </xdr:twoCellAnchor>
  <xdr:twoCellAnchor>
    <xdr:from>
      <xdr:col>0</xdr:col>
      <xdr:colOff>153940</xdr:colOff>
      <xdr:row>37</xdr:row>
      <xdr:rowOff>264006</xdr:rowOff>
    </xdr:from>
    <xdr:to>
      <xdr:col>9</xdr:col>
      <xdr:colOff>57728</xdr:colOff>
      <xdr:row>57</xdr:row>
      <xdr:rowOff>48105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119DA5A-D78A-D58A-CC68-D06E92318B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163561</xdr:colOff>
      <xdr:row>39</xdr:row>
      <xdr:rowOff>19242</xdr:rowOff>
    </xdr:from>
    <xdr:to>
      <xdr:col>8</xdr:col>
      <xdr:colOff>336743</xdr:colOff>
      <xdr:row>41</xdr:row>
      <xdr:rowOff>144318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78B874A4-74D8-6BF0-26C7-F8877E10E2A5}"/>
            </a:ext>
          </a:extLst>
        </xdr:cNvPr>
        <xdr:cNvCxnSpPr/>
      </xdr:nvCxnSpPr>
      <xdr:spPr>
        <a:xfrm flipV="1">
          <a:off x="1395076" y="7716212"/>
          <a:ext cx="6523182" cy="509924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383310</xdr:colOff>
      <xdr:row>38</xdr:row>
      <xdr:rowOff>94674</xdr:rowOff>
    </xdr:from>
    <xdr:to>
      <xdr:col>5</xdr:col>
      <xdr:colOff>508387</xdr:colOff>
      <xdr:row>40</xdr:row>
      <xdr:rowOff>46568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6A682B2-ACAD-6C45-8128-E188B176FED3}"/>
            </a:ext>
          </a:extLst>
        </xdr:cNvPr>
        <xdr:cNvSpPr txBox="1"/>
      </xdr:nvSpPr>
      <xdr:spPr>
        <a:xfrm rot="21314104">
          <a:off x="3731492" y="7599219"/>
          <a:ext cx="1183410" cy="33674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600"/>
            <a:t>CAGR 5.6%</a:t>
          </a:r>
        </a:p>
      </xdr:txBody>
    </xdr:sp>
    <xdr:clientData/>
  </xdr:twoCellAnchor>
  <xdr:twoCellAnchor>
    <xdr:from>
      <xdr:col>1</xdr:col>
      <xdr:colOff>0</xdr:colOff>
      <xdr:row>59</xdr:row>
      <xdr:rowOff>182803</xdr:rowOff>
    </xdr:from>
    <xdr:to>
      <xdr:col>6</xdr:col>
      <xdr:colOff>270386</xdr:colOff>
      <xdr:row>74</xdr:row>
      <xdr:rowOff>19083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EA91D3B-B26D-9F42-92E6-F5E1DA4DD7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88981</xdr:colOff>
      <xdr:row>13</xdr:row>
      <xdr:rowOff>113248</xdr:rowOff>
    </xdr:from>
    <xdr:to>
      <xdr:col>3</xdr:col>
      <xdr:colOff>703758</xdr:colOff>
      <xdr:row>13</xdr:row>
      <xdr:rowOff>113248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3CE25C1D-2375-D58C-F974-287A078DB788}"/>
            </a:ext>
          </a:extLst>
        </xdr:cNvPr>
        <xdr:cNvCxnSpPr/>
      </xdr:nvCxnSpPr>
      <xdr:spPr>
        <a:xfrm>
          <a:off x="1852420" y="3632038"/>
          <a:ext cx="614777" cy="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88981</xdr:colOff>
      <xdr:row>36</xdr:row>
      <xdr:rowOff>113249</xdr:rowOff>
    </xdr:from>
    <xdr:to>
      <xdr:col>3</xdr:col>
      <xdr:colOff>703758</xdr:colOff>
      <xdr:row>36</xdr:row>
      <xdr:rowOff>113249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FEB0E81C-2B30-294A-8AC9-CC2A4F3C8DBD}"/>
            </a:ext>
          </a:extLst>
        </xdr:cNvPr>
        <xdr:cNvCxnSpPr/>
      </xdr:nvCxnSpPr>
      <xdr:spPr>
        <a:xfrm>
          <a:off x="3810000" y="7344969"/>
          <a:ext cx="614777" cy="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121337</xdr:colOff>
      <xdr:row>38</xdr:row>
      <xdr:rowOff>97070</xdr:rowOff>
    </xdr:from>
    <xdr:to>
      <xdr:col>3</xdr:col>
      <xdr:colOff>736114</xdr:colOff>
      <xdr:row>38</xdr:row>
      <xdr:rowOff>97070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9F96510-6035-3F45-81C7-7D6EC007F3E7}"/>
            </a:ext>
          </a:extLst>
        </xdr:cNvPr>
        <xdr:cNvCxnSpPr/>
      </xdr:nvCxnSpPr>
      <xdr:spPr>
        <a:xfrm>
          <a:off x="3842356" y="7717070"/>
          <a:ext cx="614777" cy="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88981</xdr:colOff>
      <xdr:row>2</xdr:row>
      <xdr:rowOff>113248</xdr:rowOff>
    </xdr:from>
    <xdr:to>
      <xdr:col>2</xdr:col>
      <xdr:colOff>703758</xdr:colOff>
      <xdr:row>2</xdr:row>
      <xdr:rowOff>113248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247FDEA6-4F3E-D148-B26B-08BAB6E857BC}"/>
            </a:ext>
          </a:extLst>
        </xdr:cNvPr>
        <xdr:cNvCxnSpPr/>
      </xdr:nvCxnSpPr>
      <xdr:spPr>
        <a:xfrm>
          <a:off x="3551147" y="3632038"/>
          <a:ext cx="614777" cy="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88981</xdr:colOff>
      <xdr:row>6</xdr:row>
      <xdr:rowOff>113248</xdr:rowOff>
    </xdr:from>
    <xdr:to>
      <xdr:col>2</xdr:col>
      <xdr:colOff>703758</xdr:colOff>
      <xdr:row>6</xdr:row>
      <xdr:rowOff>113248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FE5C5021-6417-7F44-845C-80EDCBD9D96F}"/>
            </a:ext>
          </a:extLst>
        </xdr:cNvPr>
        <xdr:cNvCxnSpPr/>
      </xdr:nvCxnSpPr>
      <xdr:spPr>
        <a:xfrm>
          <a:off x="2936370" y="420637"/>
          <a:ext cx="614777" cy="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171450</xdr:colOff>
      <xdr:row>37</xdr:row>
      <xdr:rowOff>47625</xdr:rowOff>
    </xdr:from>
    <xdr:to>
      <xdr:col>5</xdr:col>
      <xdr:colOff>9525</xdr:colOff>
      <xdr:row>37</xdr:row>
      <xdr:rowOff>57150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62AF7C57-6065-DDD1-2DA6-71744A9AC363}"/>
            </a:ext>
          </a:extLst>
        </xdr:cNvPr>
        <xdr:cNvCxnSpPr>
          <a:cxnSpLocks/>
        </xdr:cNvCxnSpPr>
      </xdr:nvCxnSpPr>
      <xdr:spPr>
        <a:xfrm>
          <a:off x="3371850" y="7086600"/>
          <a:ext cx="1590675" cy="9525"/>
        </a:xfrm>
        <a:prstGeom prst="line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190500</xdr:colOff>
      <xdr:row>38</xdr:row>
      <xdr:rowOff>104775</xdr:rowOff>
    </xdr:from>
    <xdr:to>
      <xdr:col>5</xdr:col>
      <xdr:colOff>28575</xdr:colOff>
      <xdr:row>38</xdr:row>
      <xdr:rowOff>114300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5AAD1AD6-185A-4145-8F7F-BAEC574A9547}"/>
            </a:ext>
            <a:ext uri="{147F2762-F138-4A5C-976F-8EAC2B608ADB}">
              <a16:predDERef xmlns:a16="http://schemas.microsoft.com/office/drawing/2014/main" pred="{62AF7C57-6065-DDD1-2DA6-71744A9AC363}"/>
            </a:ext>
          </a:extLst>
        </xdr:cNvPr>
        <xdr:cNvCxnSpPr>
          <a:cxnSpLocks/>
        </xdr:cNvCxnSpPr>
      </xdr:nvCxnSpPr>
      <xdr:spPr>
        <a:xfrm>
          <a:off x="3390900" y="7334250"/>
          <a:ext cx="1590675" cy="9525"/>
        </a:xfrm>
        <a:prstGeom prst="line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kyw" id="{320DE562-1231-B840-9D8C-7478B9CB30BF}" userId="tkyw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42" dT="2024-08-07T07:26:11.17" personId="{320DE562-1231-B840-9D8C-7478B9CB30BF}" id="{8AF4ED98-E7F1-6D4A-B98B-0992295A7ADF}">
    <text>Assumption based on 3QFY24 quarterly report</text>
  </threadedComment>
  <threadedComment ref="I155" dT="2024-08-08T06:37:39.22" personId="{320DE562-1231-B840-9D8C-7478B9CB30BF}" id="{CB02D643-E82F-1249-872B-831493E0C84A}">
    <text>Assume min 60% dividend payout</text>
  </threadedComment>
  <threadedComment ref="G180" dT="2024-08-07T07:55:29.33" personId="{320DE562-1231-B840-9D8C-7478B9CB30BF}" id="{6927A23F-7699-E942-8CAD-C24545DA0E15}">
    <text>Assumptions based on the 3QFY24 data</text>
  </threadedComment>
  <threadedComment ref="I180" dT="2024-08-06T08:16:35.86" personId="{320DE562-1231-B840-9D8C-7478B9CB30BF}" id="{1D896750-4158-FD47-AD5A-B3A1060194C3}">
    <text>Assumptions based on the 3QFY24 data</text>
  </threadedComment>
  <threadedComment ref="I180" dT="2024-08-07T07:55:20.14" personId="{320DE562-1231-B840-9D8C-7478B9CB30BF}" id="{DC4711D3-21E1-C046-8A0B-871FD4A7EDEE}" parentId="{1D896750-4158-FD47-AD5A-B3A1060194C3}">
    <text>Assume a min 10% of cash balance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5" dT="2024-08-07T07:41:16.67" personId="{320DE562-1231-B840-9D8C-7478B9CB30BF}" id="{12984621-BD27-6648-BAB1-00E7DF5376BD}">
    <text>Total Capex as dated of 12MFY24</text>
  </threadedComment>
  <threadedComment ref="G47" dT="2024-08-07T07:33:03.70" personId="{320DE562-1231-B840-9D8C-7478B9CB30BF}" id="{7E9836DF-34B7-B84C-93F2-143104F1FBE1}">
    <text>Based on 3QFY24 assumptions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E69FC-3DF8-4F48-B6C7-1D6753BF3E04}">
  <sheetPr codeName="Sheet1"/>
  <dimension ref="A1:L42"/>
  <sheetViews>
    <sheetView showGridLines="0" topLeftCell="A37" zoomScale="132" zoomScaleNormal="132" workbookViewId="0">
      <selection activeCell="I63" sqref="I63"/>
    </sheetView>
  </sheetViews>
  <sheetFormatPr baseColWidth="10" defaultRowHeight="15"/>
  <cols>
    <col min="1" max="1" width="2.33203125" customWidth="1"/>
    <col min="2" max="9" width="13.83203125" bestFit="1" customWidth="1"/>
  </cols>
  <sheetData>
    <row r="1" spans="2:12" ht="10" customHeight="1"/>
    <row r="2" spans="2:12" ht="22">
      <c r="B2" s="148" t="s">
        <v>282</v>
      </c>
      <c r="C2" s="147"/>
      <c r="D2" s="147"/>
      <c r="E2" s="147"/>
      <c r="F2" s="147"/>
      <c r="G2" s="147"/>
      <c r="H2" s="147"/>
      <c r="I2" s="147"/>
      <c r="J2" s="147"/>
      <c r="K2" s="147"/>
      <c r="L2" s="147"/>
    </row>
    <row r="4" spans="2:12">
      <c r="B4" s="10" t="s">
        <v>279</v>
      </c>
      <c r="C4" s="36">
        <v>22052435</v>
      </c>
      <c r="D4" s="36">
        <v>22405979</v>
      </c>
    </row>
    <row r="5" spans="2:12">
      <c r="B5" s="10" t="s">
        <v>280</v>
      </c>
      <c r="C5" s="36">
        <v>3685793</v>
      </c>
      <c r="D5" s="36">
        <v>4395025</v>
      </c>
    </row>
    <row r="6" spans="2:12">
      <c r="B6" s="10" t="s">
        <v>281</v>
      </c>
      <c r="C6" s="36">
        <v>465014</v>
      </c>
      <c r="D6" s="36">
        <v>494264</v>
      </c>
    </row>
    <row r="19" spans="1:10" ht="22">
      <c r="B19" s="148" t="s">
        <v>283</v>
      </c>
    </row>
    <row r="20" spans="1:10">
      <c r="B20">
        <v>2016</v>
      </c>
      <c r="C20">
        <f>1+B20</f>
        <v>2017</v>
      </c>
      <c r="D20">
        <f t="shared" ref="D20:I20" si="0">1+C20</f>
        <v>2018</v>
      </c>
      <c r="E20">
        <f t="shared" si="0"/>
        <v>2019</v>
      </c>
      <c r="F20">
        <f t="shared" si="0"/>
        <v>2020</v>
      </c>
      <c r="G20">
        <f t="shared" si="0"/>
        <v>2021</v>
      </c>
      <c r="H20">
        <f t="shared" si="0"/>
        <v>2022</v>
      </c>
      <c r="I20">
        <f t="shared" si="0"/>
        <v>2023</v>
      </c>
    </row>
    <row r="21" spans="1:10">
      <c r="A21" t="s">
        <v>285</v>
      </c>
      <c r="B21" s="151">
        <v>18840000</v>
      </c>
      <c r="C21" s="151">
        <v>20580000</v>
      </c>
      <c r="D21" s="151">
        <v>21840000</v>
      </c>
      <c r="E21" s="151">
        <v>22720000</v>
      </c>
      <c r="F21" s="151">
        <v>25540000</v>
      </c>
      <c r="G21" s="151">
        <v>25220000</v>
      </c>
      <c r="H21" s="151">
        <v>26200000</v>
      </c>
      <c r="I21" s="151">
        <v>27300000</v>
      </c>
      <c r="J21" s="145" t="s">
        <v>284</v>
      </c>
    </row>
    <row r="22" spans="1:10">
      <c r="A22" t="s">
        <v>286</v>
      </c>
      <c r="B22" s="151">
        <v>6860000</v>
      </c>
      <c r="C22" s="151">
        <v>7550000</v>
      </c>
      <c r="D22" s="151">
        <v>7860000</v>
      </c>
      <c r="E22" s="151">
        <v>7890000</v>
      </c>
      <c r="F22" s="151">
        <v>9520000</v>
      </c>
      <c r="G22" s="151">
        <v>9890000</v>
      </c>
      <c r="H22" s="151">
        <v>9100000</v>
      </c>
      <c r="I22" s="151">
        <v>11010000</v>
      </c>
      <c r="J22" s="141">
        <f>((I21/B21)^(1/7))-1</f>
        <v>5.4415249698640311E-2</v>
      </c>
    </row>
    <row r="23" spans="1:10">
      <c r="A23" t="s">
        <v>287</v>
      </c>
      <c r="B23" s="58">
        <f>B22/B21</f>
        <v>0.3641188959660297</v>
      </c>
      <c r="C23" s="58">
        <f t="shared" ref="C23:I23" si="1">C22/C21</f>
        <v>0.36686103012633625</v>
      </c>
      <c r="D23" s="58">
        <f t="shared" si="1"/>
        <v>0.35989010989010989</v>
      </c>
      <c r="E23" s="58">
        <f t="shared" si="1"/>
        <v>0.34727112676056338</v>
      </c>
      <c r="F23" s="58">
        <f t="shared" si="1"/>
        <v>0.37274862960062649</v>
      </c>
      <c r="G23" s="58">
        <f t="shared" si="1"/>
        <v>0.39214908802537668</v>
      </c>
      <c r="H23" s="58">
        <f t="shared" si="1"/>
        <v>0.34732824427480918</v>
      </c>
      <c r="I23" s="58">
        <f t="shared" si="1"/>
        <v>0.40329670329670331</v>
      </c>
    </row>
    <row r="38" spans="2:9" ht="22">
      <c r="B38" s="148" t="s">
        <v>288</v>
      </c>
    </row>
    <row r="39" spans="2:9">
      <c r="C39" s="27">
        <f>Modelling!G17</f>
        <v>2024</v>
      </c>
      <c r="D39" s="27">
        <f>Modelling!I17</f>
        <v>2025</v>
      </c>
      <c r="E39" s="27">
        <f>Modelling!J17</f>
        <v>2026</v>
      </c>
      <c r="F39" s="27">
        <f>Modelling!K17</f>
        <v>2027</v>
      </c>
      <c r="G39" s="27">
        <f>Modelling!L17</f>
        <v>2028</v>
      </c>
      <c r="I39" t="s">
        <v>291</v>
      </c>
    </row>
    <row r="40" spans="2:9">
      <c r="B40" t="s">
        <v>289</v>
      </c>
      <c r="C40" s="5">
        <f>Modelling!G18</f>
        <v>32208416.239999998</v>
      </c>
      <c r="D40" s="5">
        <f>Modelling!I18</f>
        <v>38650099.487999998</v>
      </c>
      <c r="E40" s="5">
        <f>Modelling!J18</f>
        <v>46380119.385599993</v>
      </c>
      <c r="F40" s="5">
        <f>Modelling!K18</f>
        <v>53337137.293439984</v>
      </c>
      <c r="G40" s="5">
        <f>Modelling!L18</f>
        <v>61337707.887455977</v>
      </c>
      <c r="I40" s="141">
        <f>(G40/C40)^(1/4)-1</f>
        <v>0.17473401244707287</v>
      </c>
    </row>
    <row r="41" spans="2:9">
      <c r="B41" t="s">
        <v>290</v>
      </c>
      <c r="C41" s="5">
        <f>Modelling!G39</f>
        <v>12530822.662288314</v>
      </c>
      <c r="D41" s="5">
        <f ca="1">Modelling!I39</f>
        <v>15053633.099157689</v>
      </c>
      <c r="E41" s="5">
        <f ca="1">Modelling!J39</f>
        <v>18077033.799551833</v>
      </c>
      <c r="F41" s="5">
        <f ca="1">Modelling!K39</f>
        <v>20735420.197185554</v>
      </c>
      <c r="G41" s="5">
        <f ca="1">Modelling!L39</f>
        <v>23783009.987206377</v>
      </c>
      <c r="H41" s="5"/>
    </row>
    <row r="42" spans="2:9">
      <c r="B42" t="s">
        <v>255</v>
      </c>
      <c r="C42" s="141">
        <f>C41/C40</f>
        <v>0.3890542946574983</v>
      </c>
      <c r="D42" s="141">
        <f t="shared" ref="D42:G42" ca="1" si="2">D41/D40</f>
        <v>0.38948497671607574</v>
      </c>
      <c r="E42" s="141">
        <f t="shared" ca="1" si="2"/>
        <v>0.38975824208775872</v>
      </c>
      <c r="F42" s="141">
        <f t="shared" ca="1" si="2"/>
        <v>0.38876140058112635</v>
      </c>
      <c r="G42" s="141">
        <f t="shared" ca="1" si="2"/>
        <v>0.38773881200197541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R215"/>
  <sheetViews>
    <sheetView showGridLines="0" tabSelected="1" topLeftCell="A166" zoomScaleNormal="125" workbookViewId="0">
      <selection activeCell="C191" sqref="C191"/>
    </sheetView>
  </sheetViews>
  <sheetFormatPr baseColWidth="10" defaultColWidth="8.83203125" defaultRowHeight="15" outlineLevelRow="1"/>
  <cols>
    <col min="1" max="1" width="1.83203125" customWidth="1"/>
    <col min="2" max="2" width="58.5" customWidth="1"/>
    <col min="3" max="3" width="5.83203125" customWidth="1"/>
    <col min="4" max="11" width="20.5" customWidth="1"/>
    <col min="12" max="12" width="14.83203125" bestFit="1" customWidth="1"/>
    <col min="13" max="13" width="12.5" bestFit="1" customWidth="1"/>
    <col min="14" max="14" width="8" bestFit="1" customWidth="1"/>
  </cols>
  <sheetData>
    <row r="1" spans="1:14" ht="8.25" customHeight="1"/>
    <row r="2" spans="1:14" s="9" customFormat="1" ht="22">
      <c r="A2" s="1" t="s">
        <v>0</v>
      </c>
      <c r="B2" s="8" t="s">
        <v>303</v>
      </c>
      <c r="G2" s="74"/>
    </row>
    <row r="3" spans="1:14" hidden="1" outlineLevel="1">
      <c r="D3" s="39">
        <v>2021</v>
      </c>
      <c r="E3" s="2">
        <f>1+D3</f>
        <v>2022</v>
      </c>
      <c r="F3" s="2">
        <f>1+E3</f>
        <v>2023</v>
      </c>
      <c r="G3" s="75">
        <f>1+F3</f>
        <v>2024</v>
      </c>
      <c r="H3" s="3">
        <f t="shared" ref="H3" si="0">1+G3</f>
        <v>2025</v>
      </c>
      <c r="I3" s="3">
        <f t="shared" ref="I3" si="1">1+H3</f>
        <v>2026</v>
      </c>
      <c r="J3" s="3">
        <f t="shared" ref="J3" si="2">1+I3</f>
        <v>2027</v>
      </c>
      <c r="K3" s="3">
        <f t="shared" ref="K3" si="3">1+J3</f>
        <v>2028</v>
      </c>
      <c r="M3" s="156" t="s">
        <v>299</v>
      </c>
      <c r="N3" s="156" t="s">
        <v>298</v>
      </c>
    </row>
    <row r="4" spans="1:14" hidden="1" outlineLevel="1">
      <c r="B4" s="73" t="s">
        <v>295</v>
      </c>
      <c r="G4" s="87"/>
      <c r="M4" t="s">
        <v>300</v>
      </c>
      <c r="N4">
        <v>1</v>
      </c>
    </row>
    <row r="5" spans="1:14" hidden="1" outlineLevel="1">
      <c r="B5" s="154" t="s">
        <v>4</v>
      </c>
      <c r="G5" s="159">
        <v>0.18</v>
      </c>
      <c r="H5" s="141">
        <f>E22</f>
        <v>3.886252759979647E-2</v>
      </c>
      <c r="I5" s="141">
        <f>H5</f>
        <v>3.886252759979647E-2</v>
      </c>
      <c r="J5" s="141">
        <f t="shared" ref="J5:K5" si="4">I5</f>
        <v>3.886252759979647E-2</v>
      </c>
      <c r="K5" s="141">
        <f t="shared" si="4"/>
        <v>3.886252759979647E-2</v>
      </c>
      <c r="M5" t="s">
        <v>301</v>
      </c>
      <c r="N5">
        <v>2</v>
      </c>
    </row>
    <row r="6" spans="1:14" hidden="1" outlineLevel="1">
      <c r="B6" s="154" t="s">
        <v>12</v>
      </c>
      <c r="G6" s="158">
        <f>F30</f>
        <v>0.18756111865250782</v>
      </c>
      <c r="H6" s="160">
        <v>0.25</v>
      </c>
      <c r="I6" s="160">
        <v>0.27</v>
      </c>
      <c r="J6" s="160">
        <v>0.3</v>
      </c>
      <c r="K6" s="160">
        <v>0.3</v>
      </c>
      <c r="M6" t="s">
        <v>302</v>
      </c>
      <c r="N6">
        <v>3</v>
      </c>
    </row>
    <row r="7" spans="1:14" hidden="1" outlineLevel="1">
      <c r="B7" s="154"/>
      <c r="G7" s="87"/>
    </row>
    <row r="8" spans="1:14" hidden="1" outlineLevel="1">
      <c r="B8" s="73" t="s">
        <v>296</v>
      </c>
      <c r="G8" s="87"/>
    </row>
    <row r="9" spans="1:14" hidden="1" outlineLevel="1">
      <c r="B9" s="154" t="s">
        <v>4</v>
      </c>
      <c r="G9" s="159">
        <v>0.18</v>
      </c>
      <c r="H9" s="160">
        <v>0.1</v>
      </c>
      <c r="I9" s="161">
        <f>F22</f>
        <v>4.1675224767988572E-2</v>
      </c>
      <c r="J9" s="161">
        <f>I9</f>
        <v>4.1675224767988572E-2</v>
      </c>
      <c r="K9" s="161">
        <f>J9</f>
        <v>4.1675224767988572E-2</v>
      </c>
    </row>
    <row r="10" spans="1:14" hidden="1" outlineLevel="1">
      <c r="B10" s="154" t="s">
        <v>12</v>
      </c>
      <c r="G10" s="162">
        <f>F30</f>
        <v>0.18756111865250782</v>
      </c>
      <c r="H10" s="161">
        <f t="shared" ref="H10:K10" si="5">G10</f>
        <v>0.18756111865250782</v>
      </c>
      <c r="I10" s="161">
        <f t="shared" si="5"/>
        <v>0.18756111865250782</v>
      </c>
      <c r="J10" s="161">
        <f t="shared" si="5"/>
        <v>0.18756111865250782</v>
      </c>
      <c r="K10" s="161">
        <f t="shared" si="5"/>
        <v>0.18756111865250782</v>
      </c>
    </row>
    <row r="11" spans="1:14" hidden="1" outlineLevel="1">
      <c r="B11" s="73"/>
      <c r="G11" s="109"/>
      <c r="H11" s="46"/>
      <c r="I11" s="47"/>
      <c r="J11" s="47"/>
      <c r="K11" s="47"/>
    </row>
    <row r="12" spans="1:14" hidden="1" outlineLevel="1">
      <c r="B12" s="73" t="s">
        <v>297</v>
      </c>
      <c r="G12" s="87"/>
    </row>
    <row r="13" spans="1:14" hidden="1" outlineLevel="1">
      <c r="B13" s="154" t="s">
        <v>4</v>
      </c>
      <c r="G13" s="159">
        <v>0.18</v>
      </c>
      <c r="H13" s="160">
        <v>0.2</v>
      </c>
      <c r="I13" s="160">
        <v>0.2</v>
      </c>
      <c r="J13" s="160">
        <v>0.15</v>
      </c>
      <c r="K13" s="160">
        <v>0.15</v>
      </c>
    </row>
    <row r="14" spans="1:14" hidden="1" outlineLevel="1">
      <c r="B14" s="154" t="s">
        <v>12</v>
      </c>
      <c r="G14" s="158">
        <f>F30</f>
        <v>0.18756111865250782</v>
      </c>
      <c r="H14" s="141">
        <f>G14</f>
        <v>0.18756111865250782</v>
      </c>
      <c r="I14" s="141">
        <f t="shared" ref="I14:K14" si="6">H14</f>
        <v>0.18756111865250782</v>
      </c>
      <c r="J14" s="141">
        <f t="shared" si="6"/>
        <v>0.18756111865250782</v>
      </c>
      <c r="K14" s="141">
        <f t="shared" si="6"/>
        <v>0.18756111865250782</v>
      </c>
    </row>
    <row r="15" spans="1:14" collapsed="1">
      <c r="G15" s="87"/>
    </row>
    <row r="16" spans="1:14" s="9" customFormat="1" ht="23" thickBot="1">
      <c r="A16" s="1" t="s">
        <v>0</v>
      </c>
      <c r="B16" s="8" t="s">
        <v>1</v>
      </c>
      <c r="D16" s="155" t="s">
        <v>298</v>
      </c>
      <c r="E16" s="157" t="s">
        <v>302</v>
      </c>
    </row>
    <row r="17" spans="2:12" outlineLevel="1">
      <c r="B17" s="6" t="s">
        <v>2</v>
      </c>
      <c r="D17" s="39">
        <v>2021</v>
      </c>
      <c r="E17" s="2">
        <f>1+D17</f>
        <v>2022</v>
      </c>
      <c r="F17" s="2">
        <f>1+E17</f>
        <v>2023</v>
      </c>
      <c r="G17" s="75">
        <f>1+F17</f>
        <v>2024</v>
      </c>
      <c r="H17" s="173">
        <v>2024</v>
      </c>
      <c r="I17" s="3">
        <f>1+G17</f>
        <v>2025</v>
      </c>
      <c r="J17" s="3">
        <f t="shared" ref="J17:L17" si="7">1+I17</f>
        <v>2026</v>
      </c>
      <c r="K17" s="3">
        <f t="shared" si="7"/>
        <v>2027</v>
      </c>
      <c r="L17" s="3">
        <f t="shared" si="7"/>
        <v>2028</v>
      </c>
    </row>
    <row r="18" spans="2:12" outlineLevel="1">
      <c r="B18" t="s">
        <v>3</v>
      </c>
      <c r="D18" s="36">
        <v>25223012</v>
      </c>
      <c r="E18" s="36">
        <v>26203242</v>
      </c>
      <c r="F18" s="36">
        <v>27295268</v>
      </c>
      <c r="G18" s="76">
        <f>F18*(1+G22)</f>
        <v>32208416.239999998</v>
      </c>
      <c r="H18" s="174">
        <v>32073000</v>
      </c>
      <c r="I18" s="5">
        <f>G18*(1+I22)</f>
        <v>38650099.487999998</v>
      </c>
      <c r="J18" s="5">
        <f t="shared" ref="J18:L18" si="8">I18*(1+J22)</f>
        <v>46380119.385599993</v>
      </c>
      <c r="K18" s="5">
        <f t="shared" si="8"/>
        <v>53337137.293439984</v>
      </c>
      <c r="L18" s="5">
        <f t="shared" si="8"/>
        <v>61337707.887455977</v>
      </c>
    </row>
    <row r="19" spans="2:12" outlineLevel="1">
      <c r="B19" s="28" t="s">
        <v>279</v>
      </c>
      <c r="D19" s="36">
        <v>21117990</v>
      </c>
      <c r="E19" s="36">
        <v>22052435</v>
      </c>
      <c r="F19" s="36">
        <v>22405979</v>
      </c>
      <c r="G19" s="76"/>
      <c r="H19" s="175"/>
      <c r="I19" s="5"/>
      <c r="J19" s="5"/>
      <c r="K19" s="5"/>
      <c r="L19" s="5"/>
    </row>
    <row r="20" spans="2:12" outlineLevel="1">
      <c r="B20" s="28" t="s">
        <v>280</v>
      </c>
      <c r="D20" s="36">
        <v>3621726</v>
      </c>
      <c r="E20" s="36">
        <v>3685793</v>
      </c>
      <c r="F20" s="150">
        <v>4395025</v>
      </c>
      <c r="G20" s="149"/>
      <c r="H20" s="176"/>
      <c r="I20" s="5"/>
      <c r="J20" s="5"/>
      <c r="K20" s="5"/>
      <c r="L20" s="5"/>
    </row>
    <row r="21" spans="2:12" outlineLevel="1">
      <c r="B21" s="28" t="s">
        <v>281</v>
      </c>
      <c r="D21" s="36">
        <v>483296</v>
      </c>
      <c r="E21" s="36">
        <v>465014</v>
      </c>
      <c r="F21" s="36">
        <v>494264</v>
      </c>
      <c r="G21" s="76"/>
      <c r="H21" s="175"/>
      <c r="I21" s="5"/>
      <c r="J21" s="5"/>
      <c r="K21" s="5"/>
      <c r="L21" s="5"/>
    </row>
    <row r="22" spans="2:12" outlineLevel="1">
      <c r="B22" s="23" t="s">
        <v>4</v>
      </c>
      <c r="D22" s="38"/>
      <c r="E22" s="46">
        <f>E18/D18-1</f>
        <v>3.886252759979647E-2</v>
      </c>
      <c r="F22" s="46">
        <f>F18/E18-1</f>
        <v>4.1675224767988572E-2</v>
      </c>
      <c r="G22" s="94">
        <f>CHOOSE(VLOOKUP($E$16,$M$3:$N$6,2,FALSE),G5,G9,G13)</f>
        <v>0.18</v>
      </c>
      <c r="H22" s="177"/>
      <c r="I22" s="59">
        <f>CHOOSE(VLOOKUP($E$16,$M$3:$N$6,2,FALSE),H5,H9,H13)</f>
        <v>0.2</v>
      </c>
      <c r="J22" s="59">
        <f>CHOOSE(VLOOKUP($E$16,$M$3:$N$6,2,FALSE),I5,I9,I13)</f>
        <v>0.2</v>
      </c>
      <c r="K22" s="59">
        <f>CHOOSE(VLOOKUP($E$16,$M$3:$N$6,2,FALSE),J5,J9,J13)</f>
        <v>0.15</v>
      </c>
      <c r="L22" s="59">
        <f>CHOOSE(VLOOKUP($E$16,$M$3:$N$6,2,FALSE),K5,K9,K13)</f>
        <v>0.15</v>
      </c>
    </row>
    <row r="23" spans="2:12" outlineLevel="1">
      <c r="B23" t="s">
        <v>5</v>
      </c>
      <c r="D23" s="36">
        <v>-6900224</v>
      </c>
      <c r="E23" s="36">
        <v>-7063425</v>
      </c>
      <c r="F23" s="36">
        <v>-7184579</v>
      </c>
      <c r="G23" s="76">
        <f>G24-G18</f>
        <v>-9517586.9989199974</v>
      </c>
      <c r="H23" s="174">
        <v>-9288000</v>
      </c>
      <c r="I23" s="5">
        <f>I24-I18</f>
        <v>-11421104.398704</v>
      </c>
      <c r="J23" s="5">
        <f>J24-J18</f>
        <v>-13705325.278444797</v>
      </c>
      <c r="K23" s="5">
        <f>K24-K18</f>
        <v>-15761124.070211515</v>
      </c>
      <c r="L23" s="5">
        <f>L24-L18</f>
        <v>-18125292.68074324</v>
      </c>
    </row>
    <row r="24" spans="2:12" outlineLevel="1">
      <c r="B24" s="6" t="s">
        <v>6</v>
      </c>
      <c r="D24" s="7">
        <f>SUM(D18,D23)</f>
        <v>18322788</v>
      </c>
      <c r="E24" s="7">
        <f>SUM(E18,E23)</f>
        <v>19139817</v>
      </c>
      <c r="F24" s="7">
        <f>SUM(F18,F23)</f>
        <v>20110689</v>
      </c>
      <c r="G24" s="78">
        <f>G18*G25</f>
        <v>22690829.241080001</v>
      </c>
      <c r="H24" s="178">
        <f>H18+H23</f>
        <v>22785000</v>
      </c>
      <c r="I24" s="7">
        <f>I18*I25</f>
        <v>27228995.089295998</v>
      </c>
      <c r="J24" s="7">
        <f>J18*J25</f>
        <v>32674794.107155196</v>
      </c>
      <c r="K24" s="7">
        <f>K18*K25</f>
        <v>37576013.223228469</v>
      </c>
      <c r="L24" s="7">
        <f>L18*L25</f>
        <v>43212415.206712738</v>
      </c>
    </row>
    <row r="25" spans="2:12" outlineLevel="1">
      <c r="B25" s="23" t="s">
        <v>7</v>
      </c>
      <c r="D25" s="47">
        <f>D24/D18</f>
        <v>0.72643140319641442</v>
      </c>
      <c r="E25" s="47">
        <f>E24/E18</f>
        <v>0.73043698180553385</v>
      </c>
      <c r="F25" s="47">
        <f>F24/F18</f>
        <v>0.73678298377579587</v>
      </c>
      <c r="G25" s="109">
        <v>0.70450000000000002</v>
      </c>
      <c r="H25" s="179">
        <f>H24/H18</f>
        <v>0.71041062575998504</v>
      </c>
      <c r="I25" s="47">
        <f>G25</f>
        <v>0.70450000000000002</v>
      </c>
      <c r="J25" s="47">
        <f>I25</f>
        <v>0.70450000000000002</v>
      </c>
      <c r="K25" s="47">
        <f>J25</f>
        <v>0.70450000000000002</v>
      </c>
      <c r="L25" s="47">
        <f>K25</f>
        <v>0.70450000000000002</v>
      </c>
    </row>
    <row r="26" spans="2:12" outlineLevel="1">
      <c r="B26" t="s">
        <v>8</v>
      </c>
      <c r="D26" s="36">
        <v>350672</v>
      </c>
      <c r="E26" s="36">
        <v>513097</v>
      </c>
      <c r="F26" s="36">
        <v>622575</v>
      </c>
      <c r="G26" s="76">
        <f>G18*G27</f>
        <v>1127294.5684</v>
      </c>
      <c r="H26" s="174">
        <v>1413000</v>
      </c>
      <c r="I26" s="5">
        <f>I18*I27</f>
        <v>1352753.48208</v>
      </c>
      <c r="J26" s="5">
        <f>J18*J27</f>
        <v>1623304.1784959999</v>
      </c>
      <c r="K26" s="5">
        <f>K18*K27</f>
        <v>1866799.8052703997</v>
      </c>
      <c r="L26" s="5">
        <f>L18*L27</f>
        <v>2146819.7760609593</v>
      </c>
    </row>
    <row r="27" spans="2:12" outlineLevel="1">
      <c r="B27" s="23" t="s">
        <v>9</v>
      </c>
      <c r="D27" s="48">
        <f>D26/D18</f>
        <v>1.390285981705912E-2</v>
      </c>
      <c r="E27" s="48">
        <f>E26/E18</f>
        <v>1.9581431946474409E-2</v>
      </c>
      <c r="F27" s="48">
        <f>F26/F18</f>
        <v>2.28088985973686E-2</v>
      </c>
      <c r="G27" s="77">
        <v>3.5000000000000003E-2</v>
      </c>
      <c r="H27" s="180">
        <f>H26/H18</f>
        <v>4.4055747825273592E-2</v>
      </c>
      <c r="I27" s="47">
        <f>G27</f>
        <v>3.5000000000000003E-2</v>
      </c>
      <c r="J27" s="47">
        <f t="shared" ref="J27:L27" si="9">I27</f>
        <v>3.5000000000000003E-2</v>
      </c>
      <c r="K27" s="47">
        <f t="shared" si="9"/>
        <v>3.5000000000000003E-2</v>
      </c>
      <c r="L27" s="47">
        <f t="shared" si="9"/>
        <v>3.5000000000000003E-2</v>
      </c>
    </row>
    <row r="28" spans="2:12" outlineLevel="1">
      <c r="B28" s="6" t="s">
        <v>10</v>
      </c>
      <c r="D28" s="36"/>
      <c r="E28" s="36"/>
      <c r="F28" s="36"/>
      <c r="G28" s="76"/>
      <c r="H28" s="175"/>
      <c r="I28" s="5"/>
      <c r="J28" s="5"/>
      <c r="K28" s="5"/>
      <c r="L28" s="5"/>
    </row>
    <row r="29" spans="2:12" outlineLevel="1">
      <c r="B29" s="11" t="s">
        <v>11</v>
      </c>
      <c r="D29" s="36">
        <v>-4961544</v>
      </c>
      <c r="E29" s="36">
        <v>-6026864</v>
      </c>
      <c r="F29" s="36">
        <v>-5119531</v>
      </c>
      <c r="G29" s="76">
        <f>G18*-G30</f>
        <v>-6041046.5800000001</v>
      </c>
      <c r="H29" s="174">
        <v>-5819000</v>
      </c>
      <c r="I29" s="5">
        <f t="shared" ref="I29:L29" si="10">I18*-I30</f>
        <v>-7249255.8959999997</v>
      </c>
      <c r="J29" s="5">
        <f t="shared" si="10"/>
        <v>-8699107.0751999989</v>
      </c>
      <c r="K29" s="5">
        <f t="shared" si="10"/>
        <v>-10003973.136479996</v>
      </c>
      <c r="L29" s="5">
        <f t="shared" si="10"/>
        <v>-11504569.106951995</v>
      </c>
    </row>
    <row r="30" spans="2:12" outlineLevel="1">
      <c r="B30" s="49" t="s">
        <v>12</v>
      </c>
      <c r="D30" s="48">
        <f>-D29/D18</f>
        <v>0.19670703879457377</v>
      </c>
      <c r="E30" s="48">
        <f>-E29/E18</f>
        <v>0.23000451623505214</v>
      </c>
      <c r="F30" s="48">
        <f>-F29/F18</f>
        <v>0.18756111865250782</v>
      </c>
      <c r="G30" s="94">
        <f>CHOOSE(VLOOKUP($E$16,$M$3:$N$6,2,FALSE),G6,G10,G14)</f>
        <v>0.18756111865250782</v>
      </c>
      <c r="H30" s="180">
        <f>-H29/H18</f>
        <v>0.18142986312474668</v>
      </c>
      <c r="I30" s="59">
        <f>CHOOSE(VLOOKUP($E$16,$M$3:$N$6,2,FALSE),H6,H10,H14)</f>
        <v>0.18756111865250782</v>
      </c>
      <c r="J30" s="59">
        <f>CHOOSE(VLOOKUP($E$16,$M$3:$N$6,2,FALSE),I6,I10,I14)</f>
        <v>0.18756111865250782</v>
      </c>
      <c r="K30" s="59">
        <f>CHOOSE(VLOOKUP($E$16,$M$3:$N$6,2,FALSE),J6,J10,J14)</f>
        <v>0.18756111865250782</v>
      </c>
      <c r="L30" s="59">
        <f>CHOOSE(VLOOKUP($E$16,$M$3:$N$6,2,FALSE),K6,K10,K14)</f>
        <v>0.18756111865250782</v>
      </c>
    </row>
    <row r="31" spans="2:12" outlineLevel="1">
      <c r="B31" s="11" t="s">
        <v>13</v>
      </c>
      <c r="D31" s="36">
        <v>-923560</v>
      </c>
      <c r="E31" s="36">
        <v>-1236989</v>
      </c>
      <c r="F31" s="36">
        <v>-1116963</v>
      </c>
      <c r="G31" s="76">
        <f>'Supporting Schedule'!G26*-1</f>
        <v>-1278871.2962962962</v>
      </c>
      <c r="H31" s="174">
        <v>-1177000</v>
      </c>
      <c r="I31" s="5">
        <f>'Supporting Schedule'!H26*-1</f>
        <v>-1521153.1192139029</v>
      </c>
      <c r="J31" s="5">
        <f>'Supporting Schedule'!I26*-1</f>
        <v>-1808704.0145197893</v>
      </c>
      <c r="K31" s="5">
        <f>'Supporting Schedule'!J26*-1</f>
        <v>-2149982.2680656025</v>
      </c>
      <c r="L31" s="5">
        <f>'Supporting Schedule'!K26*-1</f>
        <v>-2555026.5515110875</v>
      </c>
    </row>
    <row r="32" spans="2:12" outlineLevel="1">
      <c r="B32" s="11" t="s">
        <v>14</v>
      </c>
      <c r="D32" s="36">
        <f>2052*-1</f>
        <v>-2052</v>
      </c>
      <c r="E32" s="36">
        <v>0</v>
      </c>
      <c r="F32" s="36">
        <v>0</v>
      </c>
      <c r="G32" s="76">
        <f>F32</f>
        <v>0</v>
      </c>
      <c r="H32" s="174">
        <v>0</v>
      </c>
      <c r="I32" s="5">
        <f>G32</f>
        <v>0</v>
      </c>
      <c r="J32" s="5">
        <f t="shared" ref="J32:L32" si="11">I32</f>
        <v>0</v>
      </c>
      <c r="K32" s="5">
        <f t="shared" si="11"/>
        <v>0</v>
      </c>
      <c r="L32" s="5">
        <f t="shared" si="11"/>
        <v>0</v>
      </c>
    </row>
    <row r="33" spans="2:14" ht="16" outlineLevel="1" thickBot="1">
      <c r="B33" s="6" t="s">
        <v>15</v>
      </c>
      <c r="D33" s="42">
        <f>SUM(D29,D31:D32)</f>
        <v>-5887156</v>
      </c>
      <c r="E33" s="42">
        <f t="shared" ref="E33:L33" si="12">SUM(E29,E31:E32)</f>
        <v>-7263853</v>
      </c>
      <c r="F33" s="42">
        <f t="shared" si="12"/>
        <v>-6236494</v>
      </c>
      <c r="G33" s="79">
        <f t="shared" si="12"/>
        <v>-7319917.8762962967</v>
      </c>
      <c r="H33" s="181">
        <f>SUM(H29,H31:H32)</f>
        <v>-6996000</v>
      </c>
      <c r="I33" s="42">
        <f t="shared" si="12"/>
        <v>-8770409.015213903</v>
      </c>
      <c r="J33" s="42">
        <f t="shared" si="12"/>
        <v>-10507811.089719787</v>
      </c>
      <c r="K33" s="42">
        <f t="shared" si="12"/>
        <v>-12153955.404545598</v>
      </c>
      <c r="L33" s="42">
        <f t="shared" si="12"/>
        <v>-14059595.658463083</v>
      </c>
    </row>
    <row r="34" spans="2:14" ht="16" outlineLevel="1" thickTop="1">
      <c r="B34" s="6" t="s">
        <v>16</v>
      </c>
      <c r="D34" s="34">
        <f t="shared" ref="D34:L34" si="13">SUM(D33,D26,D24)</f>
        <v>12786304</v>
      </c>
      <c r="E34" s="34">
        <f t="shared" si="13"/>
        <v>12389061</v>
      </c>
      <c r="F34" s="34">
        <f t="shared" si="13"/>
        <v>14496770</v>
      </c>
      <c r="G34" s="80">
        <f t="shared" si="13"/>
        <v>16498205.933183704</v>
      </c>
      <c r="H34" s="182">
        <f t="shared" si="13"/>
        <v>17202000</v>
      </c>
      <c r="I34" s="34">
        <f t="shared" si="13"/>
        <v>19811339.556162097</v>
      </c>
      <c r="J34" s="34">
        <f t="shared" si="13"/>
        <v>23790287.195931409</v>
      </c>
      <c r="K34" s="34">
        <f t="shared" si="13"/>
        <v>27288857.623953272</v>
      </c>
      <c r="L34" s="34">
        <f t="shared" si="13"/>
        <v>31299639.324310616</v>
      </c>
    </row>
    <row r="35" spans="2:14" outlineLevel="1">
      <c r="B35" t="s">
        <v>17</v>
      </c>
      <c r="D35" s="36">
        <v>0</v>
      </c>
      <c r="E35" s="36">
        <v>-15867</v>
      </c>
      <c r="F35" s="36">
        <v>-9161</v>
      </c>
      <c r="G35" s="76">
        <f>G115*-1</f>
        <v>-7012.0104000000001</v>
      </c>
      <c r="H35" s="174">
        <v>0</v>
      </c>
      <c r="I35" s="5">
        <f ca="1">H115*-1</f>
        <v>0</v>
      </c>
      <c r="J35" s="5">
        <f ca="1">I115*-1</f>
        <v>0</v>
      </c>
      <c r="K35" s="5">
        <f ca="1">J115*-1</f>
        <v>0</v>
      </c>
      <c r="L35" s="5">
        <f ca="1">K115*-1</f>
        <v>0</v>
      </c>
    </row>
    <row r="36" spans="2:14" outlineLevel="1">
      <c r="B36" s="6" t="s">
        <v>18</v>
      </c>
      <c r="D36" s="7">
        <f>SUM(D34:D35)</f>
        <v>12786304</v>
      </c>
      <c r="E36" s="7">
        <f t="shared" ref="E36:L36" si="14">SUM(E34:E35)</f>
        <v>12373194</v>
      </c>
      <c r="F36" s="7">
        <f t="shared" si="14"/>
        <v>14487609</v>
      </c>
      <c r="G36" s="78">
        <f t="shared" si="14"/>
        <v>16491193.922783704</v>
      </c>
      <c r="H36" s="178">
        <f t="shared" si="14"/>
        <v>17202000</v>
      </c>
      <c r="I36" s="7">
        <f t="shared" ca="1" si="14"/>
        <v>19811339.556162097</v>
      </c>
      <c r="J36" s="7">
        <f t="shared" ca="1" si="14"/>
        <v>23790287.195931409</v>
      </c>
      <c r="K36" s="7">
        <f t="shared" ca="1" si="14"/>
        <v>27288857.623953272</v>
      </c>
      <c r="L36" s="7">
        <f t="shared" ca="1" si="14"/>
        <v>31299639.324310616</v>
      </c>
    </row>
    <row r="37" spans="2:14" outlineLevel="1">
      <c r="B37" t="s">
        <v>19</v>
      </c>
      <c r="D37" s="36">
        <v>-2891729</v>
      </c>
      <c r="E37" s="36">
        <v>-3270598</v>
      </c>
      <c r="F37" s="36">
        <v>-3479209</v>
      </c>
      <c r="G37" s="76">
        <f>G36*-G38</f>
        <v>-3960371.2604953907</v>
      </c>
      <c r="H37" s="174">
        <v>-3991000</v>
      </c>
      <c r="I37" s="5">
        <f t="shared" ref="I37:L37" ca="1" si="15">I36*-I38</f>
        <v>-4757706.4570044074</v>
      </c>
      <c r="J37" s="5">
        <f t="shared" ca="1" si="15"/>
        <v>-5713253.3963795761</v>
      </c>
      <c r="K37" s="5">
        <f t="shared" ca="1" si="15"/>
        <v>-6553437.426767718</v>
      </c>
      <c r="L37" s="5">
        <f t="shared" ca="1" si="15"/>
        <v>-7516629.3371042395</v>
      </c>
    </row>
    <row r="38" spans="2:14" outlineLevel="1">
      <c r="B38" s="23" t="s">
        <v>20</v>
      </c>
      <c r="D38" s="48">
        <f>D37/D36*-1</f>
        <v>0.22615831752475149</v>
      </c>
      <c r="E38" s="48">
        <f t="shared" ref="E38:F38" si="16">E37/E36*-1</f>
        <v>0.26432932353602473</v>
      </c>
      <c r="F38" s="48">
        <f t="shared" si="16"/>
        <v>0.24015066944448873</v>
      </c>
      <c r="G38" s="77">
        <f>F38</f>
        <v>0.24015066944448873</v>
      </c>
      <c r="H38" s="180">
        <f>H37/H36*-1</f>
        <v>0.23200790605743518</v>
      </c>
      <c r="I38" s="47">
        <f>G38</f>
        <v>0.24015066944448873</v>
      </c>
      <c r="J38" s="47">
        <f t="shared" ref="J38:L38" si="17">I38</f>
        <v>0.24015066944448873</v>
      </c>
      <c r="K38" s="47">
        <f t="shared" si="17"/>
        <v>0.24015066944448873</v>
      </c>
      <c r="L38" s="47">
        <f t="shared" si="17"/>
        <v>0.24015066944448873</v>
      </c>
    </row>
    <row r="39" spans="2:14" outlineLevel="1">
      <c r="B39" s="6" t="s">
        <v>21</v>
      </c>
      <c r="D39" s="7">
        <f>SUM(D36:D37)</f>
        <v>9894575</v>
      </c>
      <c r="E39" s="7">
        <f t="shared" ref="E39:L39" si="18">SUM(E36:E37)</f>
        <v>9102596</v>
      </c>
      <c r="F39" s="7">
        <f t="shared" si="18"/>
        <v>11008400</v>
      </c>
      <c r="G39" s="78">
        <f t="shared" si="18"/>
        <v>12530822.662288314</v>
      </c>
      <c r="H39" s="178">
        <f t="shared" si="18"/>
        <v>13211000</v>
      </c>
      <c r="I39" s="7">
        <f t="shared" ca="1" si="18"/>
        <v>15053633.099157689</v>
      </c>
      <c r="J39" s="7">
        <f t="shared" ca="1" si="18"/>
        <v>18077033.799551833</v>
      </c>
      <c r="K39" s="7">
        <f t="shared" ca="1" si="18"/>
        <v>20735420.197185554</v>
      </c>
      <c r="L39" s="7">
        <f t="shared" ca="1" si="18"/>
        <v>23783009.987206377</v>
      </c>
    </row>
    <row r="40" spans="2:14" outlineLevel="1">
      <c r="D40" s="5"/>
      <c r="E40" s="5"/>
      <c r="F40" s="5"/>
      <c r="G40" s="76"/>
      <c r="H40" s="175"/>
      <c r="I40" s="5"/>
      <c r="J40" s="5"/>
      <c r="K40" s="5"/>
      <c r="L40" s="5"/>
    </row>
    <row r="41" spans="2:14" outlineLevel="1">
      <c r="B41" s="6" t="s">
        <v>22</v>
      </c>
      <c r="D41" s="5"/>
      <c r="E41" s="5"/>
      <c r="F41" s="5"/>
      <c r="G41" s="76"/>
      <c r="H41" s="175"/>
      <c r="I41" s="5"/>
      <c r="J41" s="5"/>
      <c r="K41" s="5"/>
      <c r="L41" s="5"/>
    </row>
    <row r="42" spans="2:14" ht="48" outlineLevel="1">
      <c r="B42" s="153" t="s">
        <v>23</v>
      </c>
      <c r="D42" s="37">
        <v>1037311</v>
      </c>
      <c r="E42" s="37">
        <v>-1269349</v>
      </c>
      <c r="F42" s="37">
        <v>876559</v>
      </c>
      <c r="G42" s="107">
        <v>-225000</v>
      </c>
      <c r="H42" s="188">
        <v>-11000</v>
      </c>
      <c r="I42" s="68">
        <f>F42</f>
        <v>876559</v>
      </c>
      <c r="J42" s="68">
        <f>G42</f>
        <v>-225000</v>
      </c>
      <c r="K42" s="68">
        <f t="shared" ref="K42:L43" si="19">I42</f>
        <v>876559</v>
      </c>
      <c r="L42" s="68">
        <f t="shared" si="19"/>
        <v>-225000</v>
      </c>
      <c r="N42" t="s">
        <v>308</v>
      </c>
    </row>
    <row r="43" spans="2:14" outlineLevel="1">
      <c r="B43" s="11" t="s">
        <v>24</v>
      </c>
      <c r="D43" s="36">
        <v>-13278</v>
      </c>
      <c r="E43" s="36">
        <v>-26052</v>
      </c>
      <c r="F43" s="36">
        <v>-17888</v>
      </c>
      <c r="G43" s="76">
        <f>D43</f>
        <v>-13278</v>
      </c>
      <c r="H43" s="188">
        <v>-455000</v>
      </c>
      <c r="I43" s="5">
        <f>F43</f>
        <v>-17888</v>
      </c>
      <c r="J43" s="5">
        <f>G43</f>
        <v>-13278</v>
      </c>
      <c r="K43" s="5">
        <f t="shared" si="19"/>
        <v>-17888</v>
      </c>
      <c r="L43" s="5">
        <f t="shared" si="19"/>
        <v>-13278</v>
      </c>
    </row>
    <row r="44" spans="2:14" ht="16" outlineLevel="1">
      <c r="B44" s="12" t="s">
        <v>25</v>
      </c>
      <c r="D44" s="13">
        <f>SUM(D39,D42,D43)</f>
        <v>10918608</v>
      </c>
      <c r="E44" s="13">
        <f t="shared" ref="E44:L44" si="20">SUM(E39,E42,E43)</f>
        <v>7807195</v>
      </c>
      <c r="F44" s="13">
        <f t="shared" si="20"/>
        <v>11867071</v>
      </c>
      <c r="G44" s="81">
        <f t="shared" si="20"/>
        <v>12292544.662288314</v>
      </c>
      <c r="H44" s="184">
        <f t="shared" si="20"/>
        <v>12745000</v>
      </c>
      <c r="I44" s="13">
        <f t="shared" ca="1" si="20"/>
        <v>15912304.099157689</v>
      </c>
      <c r="J44" s="13">
        <f t="shared" ca="1" si="20"/>
        <v>17838755.799551833</v>
      </c>
      <c r="K44" s="13">
        <f t="shared" ca="1" si="20"/>
        <v>21594091.197185554</v>
      </c>
      <c r="L44" s="13">
        <f t="shared" ca="1" si="20"/>
        <v>23544731.987206377</v>
      </c>
    </row>
    <row r="45" spans="2:14" outlineLevel="1">
      <c r="D45" s="5"/>
      <c r="E45" s="5"/>
      <c r="F45" s="5"/>
      <c r="G45" s="76"/>
      <c r="H45" s="175"/>
      <c r="I45" s="5"/>
      <c r="J45" s="5"/>
      <c r="K45" s="5"/>
      <c r="L45" s="5"/>
    </row>
    <row r="46" spans="2:14" ht="16" outlineLevel="1">
      <c r="B46" s="14" t="s">
        <v>26</v>
      </c>
      <c r="C46" s="15"/>
      <c r="D46" s="38">
        <v>174261833</v>
      </c>
      <c r="E46" s="38">
        <v>174124277</v>
      </c>
      <c r="F46" s="38">
        <v>173215833</v>
      </c>
      <c r="G46" s="82">
        <f>F46</f>
        <v>173215833</v>
      </c>
      <c r="H46" s="185">
        <f>G46</f>
        <v>173215833</v>
      </c>
      <c r="I46" s="16">
        <f>G46</f>
        <v>173215833</v>
      </c>
      <c r="J46" s="16">
        <f t="shared" ref="J46:L46" si="21">I46</f>
        <v>173215833</v>
      </c>
      <c r="K46" s="16">
        <f t="shared" si="21"/>
        <v>173215833</v>
      </c>
      <c r="L46" s="16">
        <f t="shared" si="21"/>
        <v>173215833</v>
      </c>
    </row>
    <row r="47" spans="2:14" ht="16" outlineLevel="1">
      <c r="B47" s="14" t="s">
        <v>27</v>
      </c>
      <c r="C47" s="15"/>
      <c r="D47" s="17">
        <f>D39/D46*100</f>
        <v>5.6779931839693205</v>
      </c>
      <c r="E47" s="17">
        <f>E39/E46*100</f>
        <v>5.2276432424181722</v>
      </c>
      <c r="F47" s="17">
        <f>F39/F46*100</f>
        <v>6.3553081778615477</v>
      </c>
      <c r="G47" s="83">
        <f>G39/G46*100</f>
        <v>7.234224750279215</v>
      </c>
      <c r="H47" s="186">
        <f>H39/H46*100</f>
        <v>7.6269009427100114</v>
      </c>
      <c r="I47" s="17">
        <f t="shared" ref="I47:L47" ca="1" si="22">I39/I46*100</f>
        <v>8.6906796211623956</v>
      </c>
      <c r="J47" s="17">
        <f t="shared" ca="1" si="22"/>
        <v>10.436132474998306</v>
      </c>
      <c r="K47" s="17">
        <f t="shared" ca="1" si="22"/>
        <v>11.97085730447375</v>
      </c>
      <c r="L47" s="17">
        <f t="shared" ca="1" si="22"/>
        <v>13.730274868814318</v>
      </c>
    </row>
    <row r="48" spans="2:14" ht="16" thickBot="1">
      <c r="B48" s="60" t="s">
        <v>28</v>
      </c>
      <c r="D48" s="5"/>
      <c r="E48" s="101">
        <f>E47/D47-1</f>
        <v>-7.9314984530559407E-2</v>
      </c>
      <c r="F48" s="102">
        <f>F47/E47-1</f>
        <v>0.21571191513094656</v>
      </c>
      <c r="G48" s="101">
        <f t="shared" ref="G48:L48" si="23">G47/F47-1</f>
        <v>0.13829645200831275</v>
      </c>
      <c r="H48" s="187">
        <f>H47/F47-1</f>
        <v>0.20008357254460196</v>
      </c>
      <c r="I48" s="101">
        <f ca="1">I47/G47-1</f>
        <v>0.20132839677492287</v>
      </c>
      <c r="J48" s="101">
        <f t="shared" ca="1" si="23"/>
        <v>0.20084192835570813</v>
      </c>
      <c r="K48" s="101">
        <f t="shared" ca="1" si="23"/>
        <v>0.14705877231360964</v>
      </c>
      <c r="L48" s="101">
        <f t="shared" ca="1" si="23"/>
        <v>0.14697506783269709</v>
      </c>
    </row>
    <row r="49" spans="1:13">
      <c r="D49" s="5"/>
      <c r="E49" s="5"/>
      <c r="F49" s="5"/>
      <c r="G49" s="76"/>
      <c r="H49" s="172"/>
      <c r="I49" s="5"/>
      <c r="J49" s="5"/>
      <c r="K49" s="5"/>
      <c r="L49" s="5"/>
    </row>
    <row r="50" spans="1:13" ht="23" thickBot="1">
      <c r="A50" s="1" t="s">
        <v>0</v>
      </c>
      <c r="B50" s="8" t="s">
        <v>29</v>
      </c>
      <c r="C50" s="9"/>
      <c r="D50" s="9"/>
      <c r="E50" s="9"/>
      <c r="F50" s="9"/>
      <c r="G50" s="74"/>
      <c r="H50" s="9"/>
      <c r="I50" s="9"/>
      <c r="J50" s="9"/>
      <c r="K50" s="9"/>
      <c r="L50" s="9"/>
    </row>
    <row r="51" spans="1:13" outlineLevel="1">
      <c r="B51" t="s">
        <v>30</v>
      </c>
      <c r="C51" t="s">
        <v>31</v>
      </c>
      <c r="D51" s="39">
        <v>2021</v>
      </c>
      <c r="E51" s="2">
        <f>1+D51</f>
        <v>2022</v>
      </c>
      <c r="F51" s="2">
        <f>1+E51</f>
        <v>2023</v>
      </c>
      <c r="G51" s="75">
        <f>1+F51</f>
        <v>2024</v>
      </c>
      <c r="H51" s="173">
        <v>2024</v>
      </c>
      <c r="I51" s="3">
        <f>1+G51</f>
        <v>2025</v>
      </c>
      <c r="J51" s="3">
        <f t="shared" ref="J51" si="24">1+I51</f>
        <v>2026</v>
      </c>
      <c r="K51" s="3">
        <f t="shared" ref="K51" si="25">1+J51</f>
        <v>2027</v>
      </c>
      <c r="L51" s="3">
        <f t="shared" ref="L51" si="26">1+K51</f>
        <v>2028</v>
      </c>
    </row>
    <row r="52" spans="1:13" outlineLevel="1">
      <c r="B52" s="6" t="s">
        <v>32</v>
      </c>
      <c r="D52" s="5"/>
      <c r="E52" s="5"/>
      <c r="F52" s="5"/>
      <c r="G52" s="76"/>
      <c r="H52" s="175"/>
      <c r="I52" s="5"/>
      <c r="J52" s="5"/>
      <c r="K52" s="5"/>
      <c r="L52" s="5"/>
    </row>
    <row r="53" spans="1:13" outlineLevel="1">
      <c r="B53" s="10" t="s">
        <v>33</v>
      </c>
      <c r="D53" s="36">
        <v>5688233</v>
      </c>
      <c r="E53" s="36">
        <v>5604554</v>
      </c>
      <c r="F53" s="36">
        <v>4981104</v>
      </c>
      <c r="G53" s="76">
        <f>'Supporting Schedule'!G32-G120</f>
        <v>14286232.703703701</v>
      </c>
      <c r="H53" s="174">
        <v>14388000</v>
      </c>
      <c r="I53" s="5">
        <f>'Supporting Schedule'!H32-H120</f>
        <v>19306688.803265177</v>
      </c>
      <c r="J53" s="5">
        <f>'Supporting Schedule'!I32-I120</f>
        <v>25261858.962004319</v>
      </c>
      <c r="K53" s="5">
        <f>'Supporting Schedule'!J32-J120</f>
        <v>32326389.539675672</v>
      </c>
      <c r="L53" s="5">
        <f>'Supporting Schedule'!K32-K120</f>
        <v>40707558.641192675</v>
      </c>
      <c r="M53" s="36"/>
    </row>
    <row r="54" spans="1:13" outlineLevel="1">
      <c r="B54" s="10" t="s">
        <v>34</v>
      </c>
      <c r="D54" s="36">
        <v>336250</v>
      </c>
      <c r="E54" s="36">
        <v>336250</v>
      </c>
      <c r="F54" s="36">
        <v>336250</v>
      </c>
      <c r="G54" s="76">
        <f>F54</f>
        <v>336250</v>
      </c>
      <c r="H54" s="174">
        <v>336000</v>
      </c>
      <c r="I54" s="5">
        <f>G54</f>
        <v>336250</v>
      </c>
      <c r="J54" s="5">
        <f t="shared" ref="J54:L54" si="27">I54</f>
        <v>336250</v>
      </c>
      <c r="K54" s="5">
        <f t="shared" si="27"/>
        <v>336250</v>
      </c>
      <c r="L54" s="5">
        <f t="shared" si="27"/>
        <v>336250</v>
      </c>
    </row>
    <row r="55" spans="1:13" outlineLevel="1">
      <c r="B55" s="10" t="s">
        <v>35</v>
      </c>
      <c r="D55" s="36">
        <v>0</v>
      </c>
      <c r="E55" s="36">
        <v>0</v>
      </c>
      <c r="F55" s="36">
        <v>0</v>
      </c>
      <c r="G55" s="76">
        <f>F55</f>
        <v>0</v>
      </c>
      <c r="H55" s="174">
        <v>0</v>
      </c>
      <c r="I55" s="5">
        <f>G55</f>
        <v>0</v>
      </c>
      <c r="J55" s="5">
        <f t="shared" ref="J55:L55" si="28">I55</f>
        <v>0</v>
      </c>
      <c r="K55" s="5">
        <f t="shared" si="28"/>
        <v>0</v>
      </c>
      <c r="L55" s="5">
        <f t="shared" si="28"/>
        <v>0</v>
      </c>
    </row>
    <row r="56" spans="1:13" outlineLevel="1">
      <c r="B56" s="10" t="s">
        <v>36</v>
      </c>
      <c r="D56" s="36">
        <v>13703237</v>
      </c>
      <c r="E56" s="36">
        <v>10688457</v>
      </c>
      <c r="F56" s="36">
        <v>16565016</v>
      </c>
      <c r="G56" s="76">
        <f>F56-G147+G42</f>
        <v>16340016</v>
      </c>
      <c r="H56" s="174">
        <v>11838000</v>
      </c>
      <c r="I56" s="5">
        <f>G56-H147+I42</f>
        <v>10199715</v>
      </c>
      <c r="J56" s="5">
        <f>I56-I147+J42</f>
        <v>14974715</v>
      </c>
      <c r="K56" s="5">
        <f>J56-J147+K42</f>
        <v>15851274</v>
      </c>
      <c r="L56" s="5">
        <f>K56-K147+L42</f>
        <v>8609414</v>
      </c>
    </row>
    <row r="57" spans="1:13" outlineLevel="1">
      <c r="B57" s="10" t="s">
        <v>37</v>
      </c>
      <c r="C57">
        <v>10</v>
      </c>
      <c r="D57" s="36">
        <v>431212</v>
      </c>
      <c r="E57" s="36">
        <v>82178</v>
      </c>
      <c r="F57" s="36">
        <v>129445</v>
      </c>
      <c r="G57" s="76">
        <f>F57+G134</f>
        <v>129445</v>
      </c>
      <c r="H57" s="174">
        <v>128000</v>
      </c>
      <c r="I57" s="5">
        <f>G57+H134</f>
        <v>129445</v>
      </c>
      <c r="J57" s="5">
        <f>I57+I134</f>
        <v>129445</v>
      </c>
      <c r="K57" s="5">
        <f>J57+J134</f>
        <v>129445</v>
      </c>
      <c r="L57" s="5">
        <f>K57+K134</f>
        <v>129445</v>
      </c>
    </row>
    <row r="58" spans="1:13" outlineLevel="1">
      <c r="B58" s="6"/>
      <c r="D58" s="13">
        <f>SUM(D53:D57)</f>
        <v>20158932</v>
      </c>
      <c r="E58" s="13">
        <f t="shared" ref="E58:L58" si="29">SUM(E53:E57)</f>
        <v>16711439</v>
      </c>
      <c r="F58" s="13">
        <f t="shared" si="29"/>
        <v>22011815</v>
      </c>
      <c r="G58" s="81">
        <f t="shared" si="29"/>
        <v>31091943.703703701</v>
      </c>
      <c r="H58" s="184">
        <f t="shared" si="29"/>
        <v>26690000</v>
      </c>
      <c r="I58" s="13">
        <f t="shared" si="29"/>
        <v>29972098.803265177</v>
      </c>
      <c r="J58" s="13">
        <f t="shared" si="29"/>
        <v>40702268.962004319</v>
      </c>
      <c r="K58" s="13">
        <f t="shared" si="29"/>
        <v>48643358.539675668</v>
      </c>
      <c r="L58" s="13">
        <f t="shared" si="29"/>
        <v>49782667.641192675</v>
      </c>
    </row>
    <row r="59" spans="1:13" outlineLevel="1">
      <c r="B59" s="6" t="s">
        <v>38</v>
      </c>
      <c r="D59" s="5"/>
      <c r="E59" s="5"/>
      <c r="F59" s="5"/>
      <c r="G59" s="76"/>
      <c r="H59" s="175"/>
      <c r="I59" s="5"/>
      <c r="J59" s="5"/>
      <c r="K59" s="5"/>
      <c r="L59" s="5"/>
    </row>
    <row r="60" spans="1:13" outlineLevel="1">
      <c r="B60" s="10" t="s">
        <v>39</v>
      </c>
      <c r="D60" s="36">
        <v>1371345</v>
      </c>
      <c r="E60" s="36">
        <v>3572241</v>
      </c>
      <c r="F60" s="36">
        <v>3316617</v>
      </c>
      <c r="G60" s="76">
        <f>'Supporting Schedule'!G45/365*Modelling!G$18</f>
        <v>4064426.22</v>
      </c>
      <c r="H60" s="174">
        <v>4807000</v>
      </c>
      <c r="I60" s="5">
        <f>'Supporting Schedule'!H45/365*Modelling!I$18</f>
        <v>4877311.4639999997</v>
      </c>
      <c r="J60" s="5">
        <f>'Supporting Schedule'!I45/365*Modelling!J$18</f>
        <v>5852773.7567999996</v>
      </c>
      <c r="K60" s="5">
        <f>'Supporting Schedule'!J45/365*Modelling!K$18</f>
        <v>6730689.8203199981</v>
      </c>
      <c r="L60" s="5">
        <f>'Supporting Schedule'!K45/365*Modelling!L$18</f>
        <v>7740293.2933679977</v>
      </c>
    </row>
    <row r="61" spans="1:13" outlineLevel="1">
      <c r="B61" s="10" t="s">
        <v>40</v>
      </c>
      <c r="D61" s="36">
        <v>107877</v>
      </c>
      <c r="E61" s="36">
        <v>139173</v>
      </c>
      <c r="F61" s="36">
        <v>165835</v>
      </c>
      <c r="G61" s="76">
        <f>'Supporting Schedule'!G46/365*Modelling!G$18</f>
        <v>179954.71999999997</v>
      </c>
      <c r="H61" s="174">
        <v>862000</v>
      </c>
      <c r="I61" s="5">
        <f>'Supporting Schedule'!H46/365*Modelling!I$18</f>
        <v>215945.66399999996</v>
      </c>
      <c r="J61" s="5">
        <f>'Supporting Schedule'!I46/365*Modelling!J$18</f>
        <v>259134.79679999995</v>
      </c>
      <c r="K61" s="5">
        <f>'Supporting Schedule'!J46/365*Modelling!K$18</f>
        <v>298005.01631999988</v>
      </c>
      <c r="L61" s="5">
        <f>'Supporting Schedule'!K46/365*Modelling!L$18</f>
        <v>342705.76876799983</v>
      </c>
    </row>
    <row r="62" spans="1:13" outlineLevel="1">
      <c r="B62" s="10" t="s">
        <v>41</v>
      </c>
      <c r="D62" s="36">
        <v>478787</v>
      </c>
      <c r="E62" s="36">
        <v>696553</v>
      </c>
      <c r="F62" s="36">
        <v>707388</v>
      </c>
      <c r="G62" s="76">
        <f>'Supporting Schedule'!G47/365*Modelling!G$18</f>
        <v>828325.19</v>
      </c>
      <c r="H62" s="174">
        <v>892000</v>
      </c>
      <c r="I62" s="5">
        <f>'Supporting Schedule'!H47/365*Modelling!I$18</f>
        <v>993990.22799999989</v>
      </c>
      <c r="J62" s="5">
        <f>'Supporting Schedule'!I47/365*Modelling!J$18</f>
        <v>1192788.2735999997</v>
      </c>
      <c r="K62" s="5">
        <f>'Supporting Schedule'!J47/365*Modelling!K$18</f>
        <v>1371706.5146399995</v>
      </c>
      <c r="L62" s="5">
        <f>'Supporting Schedule'!K47/365*Modelling!L$18</f>
        <v>1577462.4918359993</v>
      </c>
    </row>
    <row r="63" spans="1:13" outlineLevel="1">
      <c r="B63" s="10" t="s">
        <v>42</v>
      </c>
      <c r="D63" s="36">
        <v>1060545</v>
      </c>
      <c r="E63" s="36">
        <v>1543461</v>
      </c>
      <c r="F63" s="36">
        <v>1160509</v>
      </c>
      <c r="G63" s="76">
        <f>F63</f>
        <v>1160509</v>
      </c>
      <c r="H63" s="174">
        <v>4272000</v>
      </c>
      <c r="I63" s="5">
        <f>G63</f>
        <v>1160509</v>
      </c>
      <c r="J63" s="5">
        <f t="shared" ref="J63:L63" si="30">I63</f>
        <v>1160509</v>
      </c>
      <c r="K63" s="5">
        <f t="shared" si="30"/>
        <v>1160509</v>
      </c>
      <c r="L63" s="5">
        <f t="shared" si="30"/>
        <v>1160509</v>
      </c>
    </row>
    <row r="64" spans="1:13" outlineLevel="1">
      <c r="B64" s="10" t="s">
        <v>36</v>
      </c>
      <c r="D64" s="36">
        <v>5271429</v>
      </c>
      <c r="E64" s="36">
        <v>0</v>
      </c>
      <c r="F64" s="36">
        <v>0</v>
      </c>
      <c r="G64" s="76">
        <f>F64</f>
        <v>0</v>
      </c>
      <c r="H64" s="174">
        <v>0</v>
      </c>
      <c r="I64" s="5">
        <f>G64</f>
        <v>0</v>
      </c>
      <c r="J64" s="5">
        <f t="shared" ref="J64:L64" si="31">I64</f>
        <v>0</v>
      </c>
      <c r="K64" s="5">
        <f t="shared" si="31"/>
        <v>0</v>
      </c>
      <c r="L64" s="5">
        <f t="shared" si="31"/>
        <v>0</v>
      </c>
    </row>
    <row r="65" spans="2:15" outlineLevel="1">
      <c r="B65" s="10"/>
      <c r="D65" s="36"/>
      <c r="E65" s="36"/>
      <c r="F65" s="36"/>
      <c r="G65" s="76"/>
      <c r="H65" s="175"/>
      <c r="I65" s="5"/>
      <c r="J65" s="5"/>
      <c r="K65" s="5"/>
      <c r="L65" s="5"/>
    </row>
    <row r="66" spans="2:15" outlineLevel="1">
      <c r="B66" s="30" t="s">
        <v>43</v>
      </c>
      <c r="D66" s="36"/>
      <c r="E66" s="36"/>
      <c r="F66" s="36"/>
      <c r="G66" s="76"/>
      <c r="H66" s="175"/>
      <c r="I66" s="5"/>
      <c r="J66" s="5"/>
      <c r="K66" s="5"/>
      <c r="L66" s="5"/>
    </row>
    <row r="67" spans="2:15" outlineLevel="1">
      <c r="B67" s="28" t="s">
        <v>44</v>
      </c>
      <c r="D67" s="114">
        <f>D176</f>
        <v>0</v>
      </c>
      <c r="E67" s="114">
        <f t="shared" ref="E67:G67" si="32">E176</f>
        <v>0</v>
      </c>
      <c r="F67" s="114">
        <f t="shared" si="32"/>
        <v>0</v>
      </c>
      <c r="G67" s="115">
        <f t="shared" si="32"/>
        <v>7000000</v>
      </c>
      <c r="H67" s="193"/>
      <c r="I67" s="114">
        <f t="shared" ref="I67:L69" si="33">I176</f>
        <v>7000000</v>
      </c>
      <c r="J67" s="114">
        <f t="shared" si="33"/>
        <v>7000000</v>
      </c>
      <c r="K67" s="114">
        <f t="shared" si="33"/>
        <v>7000000</v>
      </c>
      <c r="L67" s="114">
        <f t="shared" si="33"/>
        <v>7000000</v>
      </c>
    </row>
    <row r="68" spans="2:15" outlineLevel="1">
      <c r="B68" s="28" t="s">
        <v>45</v>
      </c>
      <c r="D68" s="36">
        <v>12626361</v>
      </c>
      <c r="E68" s="36">
        <v>21955264</v>
      </c>
      <c r="F68" s="36">
        <v>23461830</v>
      </c>
      <c r="G68" s="115">
        <f t="shared" ref="G68" ca="1" si="34">G177</f>
        <v>9562383.6392696034</v>
      </c>
      <c r="H68" s="193"/>
      <c r="I68" s="114">
        <f t="shared" ca="1" si="33"/>
        <v>17187215.326301005</v>
      </c>
      <c r="J68" s="114">
        <f t="shared" ca="1" si="33"/>
        <v>15151975.544944063</v>
      </c>
      <c r="K68" s="114">
        <f t="shared" ca="1" si="33"/>
        <v>17056435.116091136</v>
      </c>
      <c r="L68" s="114">
        <f t="shared" ca="1" si="33"/>
        <v>24758269.681449547</v>
      </c>
    </row>
    <row r="69" spans="2:15" outlineLevel="1">
      <c r="B69" s="28" t="s">
        <v>46</v>
      </c>
      <c r="D69" s="36">
        <v>8067119</v>
      </c>
      <c r="E69" s="36">
        <v>4982376</v>
      </c>
      <c r="F69" s="36">
        <v>4021096</v>
      </c>
      <c r="G69" s="115">
        <f t="shared" ref="G69" ca="1" si="35">G178</f>
        <v>4836044.835238928</v>
      </c>
      <c r="H69" s="193"/>
      <c r="I69" s="114">
        <f t="shared" ca="1" si="33"/>
        <v>5265480.5214939145</v>
      </c>
      <c r="J69" s="114">
        <f t="shared" ca="1" si="33"/>
        <v>3648801.7437541853</v>
      </c>
      <c r="K69" s="114">
        <f t="shared" ca="1" si="33"/>
        <v>3030245.2456495441</v>
      </c>
      <c r="L69" s="114">
        <f t="shared" ca="1" si="33"/>
        <v>3528696.6312721726</v>
      </c>
    </row>
    <row r="70" spans="2:15" ht="16" outlineLevel="1" thickBot="1">
      <c r="B70" s="30" t="s">
        <v>47</v>
      </c>
      <c r="D70" s="44">
        <f>SUM(D68:D69)</f>
        <v>20693480</v>
      </c>
      <c r="E70" s="44">
        <f t="shared" ref="E70:F70" si="36">SUM(E68:E69)</f>
        <v>26937640</v>
      </c>
      <c r="F70" s="44">
        <f t="shared" si="36"/>
        <v>27482926</v>
      </c>
      <c r="G70" s="84">
        <f ca="1">G166</f>
        <v>21398428.474508531</v>
      </c>
      <c r="H70" s="194">
        <v>28904000</v>
      </c>
      <c r="I70" s="44">
        <f ca="1">H166</f>
        <v>29452695.84779492</v>
      </c>
      <c r="J70" s="44">
        <f ca="1">I166</f>
        <v>25800777.288698249</v>
      </c>
      <c r="K70" s="44">
        <f ca="1">J166</f>
        <v>27086680.361740679</v>
      </c>
      <c r="L70" s="44">
        <f ca="1">K166</f>
        <v>35286966.312721722</v>
      </c>
    </row>
    <row r="71" spans="2:15" outlineLevel="1">
      <c r="B71" s="34"/>
      <c r="D71" s="45">
        <f>D70+SUM(D60:D64)</f>
        <v>28983463</v>
      </c>
      <c r="E71" s="45">
        <f t="shared" ref="E71:F71" si="37">E70+SUM(E60:E64)</f>
        <v>32889068</v>
      </c>
      <c r="F71" s="45">
        <f t="shared" si="37"/>
        <v>32833275</v>
      </c>
      <c r="G71" s="85">
        <f ca="1">G70+SUM(G60:G64)</f>
        <v>27631643.604508534</v>
      </c>
      <c r="H71" s="195">
        <f>H70+SUM(H60:H64)</f>
        <v>39737000</v>
      </c>
      <c r="I71" s="45">
        <f ca="1">I70+SUM(I60:I64)</f>
        <v>36700452.203794919</v>
      </c>
      <c r="J71" s="45">
        <f ca="1">J70+SUM(J60:J64)</f>
        <v>34265983.115898252</v>
      </c>
      <c r="K71" s="45">
        <f ca="1">K70+SUM(K60:K64)</f>
        <v>36647590.713020675</v>
      </c>
      <c r="L71" s="45">
        <f ca="1">L70+SUM(L60:L64)</f>
        <v>46107936.86669372</v>
      </c>
    </row>
    <row r="72" spans="2:15" outlineLevel="1">
      <c r="D72" s="5"/>
      <c r="E72" s="5"/>
      <c r="F72" s="5"/>
      <c r="G72" s="76"/>
      <c r="H72" s="175"/>
      <c r="I72" s="5"/>
      <c r="J72" s="5"/>
      <c r="K72" s="5"/>
      <c r="L72" s="5"/>
    </row>
    <row r="73" spans="2:15" outlineLevel="1">
      <c r="B73" s="18" t="s">
        <v>48</v>
      </c>
      <c r="C73" s="19"/>
      <c r="D73" s="20">
        <f t="shared" ref="D73:L73" si="38">SUM(D71,D58)</f>
        <v>49142395</v>
      </c>
      <c r="E73" s="20">
        <f t="shared" si="38"/>
        <v>49600507</v>
      </c>
      <c r="F73" s="20">
        <f t="shared" si="38"/>
        <v>54845090</v>
      </c>
      <c r="G73" s="86">
        <f t="shared" ca="1" si="38"/>
        <v>58723587.308212236</v>
      </c>
      <c r="H73" s="196">
        <f t="shared" si="38"/>
        <v>66427000</v>
      </c>
      <c r="I73" s="20">
        <f t="shared" ca="1" si="38"/>
        <v>66672551.007060096</v>
      </c>
      <c r="J73" s="20">
        <f t="shared" ca="1" si="38"/>
        <v>74968252.07790257</v>
      </c>
      <c r="K73" s="20">
        <f t="shared" ca="1" si="38"/>
        <v>85290949.252696335</v>
      </c>
      <c r="L73" s="20">
        <f t="shared" ca="1" si="38"/>
        <v>95890604.507886395</v>
      </c>
    </row>
    <row r="74" spans="2:15" outlineLevel="1">
      <c r="D74" s="5"/>
      <c r="E74" s="58"/>
      <c r="F74" s="58"/>
      <c r="G74" s="152"/>
      <c r="H74" s="197"/>
      <c r="I74" s="58"/>
      <c r="J74" s="58"/>
      <c r="K74" s="58"/>
      <c r="L74" s="58"/>
    </row>
    <row r="75" spans="2:15" outlineLevel="1">
      <c r="B75" s="6" t="s">
        <v>49</v>
      </c>
      <c r="D75" s="5"/>
      <c r="E75" s="5"/>
      <c r="F75" s="5"/>
      <c r="G75" s="76"/>
      <c r="H75" s="175"/>
      <c r="I75" s="5"/>
      <c r="J75" s="5"/>
      <c r="K75" s="5"/>
      <c r="L75" s="5"/>
    </row>
    <row r="76" spans="2:15" outlineLevel="1">
      <c r="B76" s="10" t="s">
        <v>50</v>
      </c>
      <c r="D76" s="36">
        <v>18933333</v>
      </c>
      <c r="E76" s="36">
        <v>18933333</v>
      </c>
      <c r="F76" s="36">
        <v>18933333</v>
      </c>
      <c r="G76" s="76">
        <f>F76</f>
        <v>18933333</v>
      </c>
      <c r="H76" s="175">
        <f>G76</f>
        <v>18933333</v>
      </c>
      <c r="I76" s="5">
        <f>G76</f>
        <v>18933333</v>
      </c>
      <c r="J76" s="5">
        <f t="shared" ref="J76:L76" si="39">I76</f>
        <v>18933333</v>
      </c>
      <c r="K76" s="5">
        <f t="shared" si="39"/>
        <v>18933333</v>
      </c>
      <c r="L76" s="5">
        <f t="shared" si="39"/>
        <v>18933333</v>
      </c>
    </row>
    <row r="77" spans="2:15" outlineLevel="1">
      <c r="B77" s="10" t="s">
        <v>51</v>
      </c>
      <c r="D77" s="36">
        <v>-7353800</v>
      </c>
      <c r="E77" s="36">
        <v>-8194362</v>
      </c>
      <c r="F77" s="36">
        <v>-8194362</v>
      </c>
      <c r="G77" s="76">
        <f>F77+G156</f>
        <v>-8194362</v>
      </c>
      <c r="H77" s="175">
        <f>G77</f>
        <v>-8194362</v>
      </c>
      <c r="I77" s="5">
        <f>G77+H156</f>
        <v>-8194362</v>
      </c>
      <c r="J77" s="5">
        <f>I77+I156</f>
        <v>-8194362</v>
      </c>
      <c r="K77" s="5">
        <f>J77+J156</f>
        <v>-8194362</v>
      </c>
      <c r="L77" s="5">
        <f>K77+K156</f>
        <v>-8194362</v>
      </c>
    </row>
    <row r="78" spans="2:15" outlineLevel="1">
      <c r="B78" s="10" t="s">
        <v>52</v>
      </c>
      <c r="D78" s="36">
        <v>33067748</v>
      </c>
      <c r="E78" s="36">
        <v>33904470</v>
      </c>
      <c r="F78" s="36">
        <v>38842908</v>
      </c>
      <c r="G78" s="76">
        <f>F78+G39+G153+G163+G121+G116+G42</f>
        <v>42477348.012288317</v>
      </c>
      <c r="H78" s="174">
        <v>42927000</v>
      </c>
      <c r="I78" s="5">
        <f ca="1">G78+I39+H153+H163+H121+H116+I42</f>
        <v>49349866.251951396</v>
      </c>
      <c r="J78" s="5">
        <f ca="1">I78+J39+I153+I163+I121+I116+J42</f>
        <v>56353832.771772124</v>
      </c>
      <c r="K78" s="5">
        <f ca="1">J78+K39+J153+J163+J121+J116+K42</f>
        <v>65513968.850646347</v>
      </c>
      <c r="L78" s="5">
        <f ca="1">K78+L39+K153+K163+K121+K116+L42</f>
        <v>74776678.845528886</v>
      </c>
    </row>
    <row r="79" spans="2:15" outlineLevel="1">
      <c r="B79" s="22" t="s">
        <v>53</v>
      </c>
      <c r="D79" s="13">
        <f>SUM(D76:D78)</f>
        <v>44647281</v>
      </c>
      <c r="E79" s="13">
        <f t="shared" ref="E79:L79" si="40">SUM(E76:E78)</f>
        <v>44643441</v>
      </c>
      <c r="F79" s="13">
        <f t="shared" si="40"/>
        <v>49581879</v>
      </c>
      <c r="G79" s="81">
        <f t="shared" si="40"/>
        <v>53216319.012288317</v>
      </c>
      <c r="H79" s="184">
        <f t="shared" si="40"/>
        <v>53665971</v>
      </c>
      <c r="I79" s="13">
        <f t="shared" ca="1" si="40"/>
        <v>60088837.251951396</v>
      </c>
      <c r="J79" s="13">
        <f t="shared" ca="1" si="40"/>
        <v>67092803.771772124</v>
      </c>
      <c r="K79" s="13">
        <f t="shared" ca="1" si="40"/>
        <v>76252939.850646347</v>
      </c>
      <c r="L79" s="13">
        <f t="shared" ca="1" si="40"/>
        <v>85515649.845528886</v>
      </c>
    </row>
    <row r="80" spans="2:15" outlineLevel="1">
      <c r="G80" s="87"/>
      <c r="H80" s="183"/>
      <c r="O80" s="4"/>
    </row>
    <row r="81" spans="2:12" outlineLevel="1">
      <c r="B81" s="6" t="s">
        <v>54</v>
      </c>
      <c r="G81" s="87"/>
      <c r="H81" s="183"/>
    </row>
    <row r="82" spans="2:12" outlineLevel="1">
      <c r="B82" s="10" t="s">
        <v>55</v>
      </c>
      <c r="C82">
        <v>10</v>
      </c>
      <c r="D82" s="36">
        <v>25627</v>
      </c>
      <c r="E82" s="36">
        <v>9327</v>
      </c>
      <c r="F82" s="36">
        <v>0</v>
      </c>
      <c r="G82" s="76">
        <f>F82</f>
        <v>0</v>
      </c>
      <c r="H82" s="174">
        <v>134000</v>
      </c>
      <c r="I82" s="5">
        <f>G82</f>
        <v>0</v>
      </c>
      <c r="J82" s="5">
        <f t="shared" ref="J82:L82" si="41">I82</f>
        <v>0</v>
      </c>
      <c r="K82" s="5">
        <f t="shared" si="41"/>
        <v>0</v>
      </c>
      <c r="L82" s="5">
        <f t="shared" si="41"/>
        <v>0</v>
      </c>
    </row>
    <row r="83" spans="2:12" outlineLevel="1">
      <c r="B83" s="10" t="s">
        <v>56</v>
      </c>
      <c r="D83" s="36">
        <v>0</v>
      </c>
      <c r="E83" s="36">
        <v>171863</v>
      </c>
      <c r="F83" s="36">
        <v>0</v>
      </c>
      <c r="G83" s="76">
        <f>F83</f>
        <v>0</v>
      </c>
      <c r="H83" s="174">
        <v>6222000</v>
      </c>
      <c r="I83" s="5">
        <f>G83</f>
        <v>0</v>
      </c>
      <c r="J83" s="5">
        <f t="shared" ref="J83:L83" si="42">I83</f>
        <v>0</v>
      </c>
      <c r="K83" s="5">
        <f t="shared" si="42"/>
        <v>0</v>
      </c>
      <c r="L83" s="5">
        <f t="shared" si="42"/>
        <v>0</v>
      </c>
    </row>
    <row r="84" spans="2:12" outlineLevel="1">
      <c r="B84" s="21"/>
      <c r="D84" s="13">
        <f>SUM(D82:D83)</f>
        <v>25627</v>
      </c>
      <c r="E84" s="13">
        <f t="shared" ref="E84:L84" si="43">SUM(E82:E83)</f>
        <v>181190</v>
      </c>
      <c r="F84" s="13">
        <f t="shared" si="43"/>
        <v>0</v>
      </c>
      <c r="G84" s="81">
        <f t="shared" si="43"/>
        <v>0</v>
      </c>
      <c r="H84" s="184">
        <f t="shared" si="43"/>
        <v>6356000</v>
      </c>
      <c r="I84" s="13">
        <f t="shared" si="43"/>
        <v>0</v>
      </c>
      <c r="J84" s="13">
        <f t="shared" si="43"/>
        <v>0</v>
      </c>
      <c r="K84" s="13">
        <f t="shared" si="43"/>
        <v>0</v>
      </c>
      <c r="L84" s="13">
        <f t="shared" si="43"/>
        <v>0</v>
      </c>
    </row>
    <row r="85" spans="2:12" outlineLevel="1">
      <c r="B85" s="21"/>
      <c r="D85" s="34"/>
      <c r="E85" s="34"/>
      <c r="F85" s="34"/>
      <c r="G85" s="80"/>
      <c r="H85" s="182"/>
      <c r="I85" s="34"/>
      <c r="J85" s="34"/>
      <c r="K85" s="34"/>
      <c r="L85" s="34"/>
    </row>
    <row r="86" spans="2:12" outlineLevel="1">
      <c r="B86" s="6" t="s">
        <v>57</v>
      </c>
      <c r="D86" s="4"/>
      <c r="E86" s="4"/>
      <c r="F86" s="4"/>
      <c r="G86" s="88"/>
      <c r="H86" s="198"/>
      <c r="I86" s="4"/>
      <c r="J86" s="4"/>
      <c r="K86" s="4"/>
      <c r="L86" s="4"/>
    </row>
    <row r="87" spans="2:12" outlineLevel="1">
      <c r="B87" s="10" t="s">
        <v>58</v>
      </c>
      <c r="D87" s="36">
        <v>16340</v>
      </c>
      <c r="E87" s="36">
        <v>41710</v>
      </c>
      <c r="F87" s="36">
        <v>12936</v>
      </c>
      <c r="G87" s="76">
        <f>'Supporting Schedule'!G48/365*-Modelling!G$23</f>
        <v>26075.580818958897</v>
      </c>
      <c r="H87" s="174">
        <v>2166000</v>
      </c>
      <c r="I87" s="5">
        <f>'Supporting Schedule'!H48/365*-Modelling!I$23</f>
        <v>31290.696982750684</v>
      </c>
      <c r="J87" s="5">
        <f>'Supporting Schedule'!I48/365*-Modelling!J$23</f>
        <v>37548.83637930081</v>
      </c>
      <c r="K87" s="5">
        <f>'Supporting Schedule'!J48/365*-Modelling!K$23</f>
        <v>43181.161836195934</v>
      </c>
      <c r="L87" s="5">
        <f>'Supporting Schedule'!K48/365*-Modelling!L$23</f>
        <v>49658.336111625315</v>
      </c>
    </row>
    <row r="88" spans="2:12" outlineLevel="1">
      <c r="B88" s="10" t="s">
        <v>59</v>
      </c>
      <c r="D88" s="36">
        <v>1739040</v>
      </c>
      <c r="E88" s="36">
        <v>2087358</v>
      </c>
      <c r="F88" s="36">
        <v>2048442</v>
      </c>
      <c r="G88" s="76">
        <f>'Supporting Schedule'!G49/365*-Modelling!G$23</f>
        <v>1799215.0765081639</v>
      </c>
      <c r="H88" s="174">
        <v>3414000</v>
      </c>
      <c r="I88" s="5">
        <f>'Supporting Schedule'!H49/365*-Modelling!I$23</f>
        <v>2159058.0918097971</v>
      </c>
      <c r="J88" s="5">
        <f>'Supporting Schedule'!I49/365*-Modelling!J$23</f>
        <v>2590869.7101717563</v>
      </c>
      <c r="K88" s="5">
        <f>'Supporting Schedule'!J49/365*-Modelling!K$23</f>
        <v>2979500.1666975194</v>
      </c>
      <c r="L88" s="5">
        <f>'Supporting Schedule'!K49/365*-Modelling!L$23</f>
        <v>3426425.1917021465</v>
      </c>
    </row>
    <row r="89" spans="2:12" outlineLevel="1">
      <c r="B89" s="10" t="s">
        <v>56</v>
      </c>
      <c r="D89" s="36">
        <v>0</v>
      </c>
      <c r="E89" s="36">
        <v>168007</v>
      </c>
      <c r="F89" s="36">
        <v>171863</v>
      </c>
      <c r="G89" s="76">
        <f ca="1">F89+G157+G115</f>
        <v>0</v>
      </c>
      <c r="H89" s="174">
        <v>553000</v>
      </c>
      <c r="I89" s="5">
        <f ca="1">G89+H157+H115</f>
        <v>0</v>
      </c>
      <c r="J89" s="5">
        <f ca="1">I89+I157+I115</f>
        <v>0</v>
      </c>
      <c r="K89" s="5">
        <f ca="1">J89+J157+J115</f>
        <v>0</v>
      </c>
      <c r="L89" s="5">
        <f ca="1">K89+K157+K115</f>
        <v>0</v>
      </c>
    </row>
    <row r="90" spans="2:12" outlineLevel="1">
      <c r="B90" s="10" t="s">
        <v>60</v>
      </c>
      <c r="D90" s="36">
        <v>2662457</v>
      </c>
      <c r="E90" s="36">
        <v>2465149</v>
      </c>
      <c r="F90" s="36">
        <v>2904929</v>
      </c>
      <c r="G90" s="76">
        <f>'Supporting Schedule'!G50/365*-Modelling!G$23</f>
        <v>3556936.6385967988</v>
      </c>
      <c r="H90" s="174">
        <v>0</v>
      </c>
      <c r="I90" s="5">
        <f>'Supporting Schedule'!H50/365*-Modelling!I$23</f>
        <v>4268323.9663161598</v>
      </c>
      <c r="J90" s="5">
        <f>'Supporting Schedule'!I50/365*-Modelling!J$23</f>
        <v>5121988.7595793903</v>
      </c>
      <c r="K90" s="5">
        <f>'Supporting Schedule'!J50/365*-Modelling!K$23</f>
        <v>5890287.0735162981</v>
      </c>
      <c r="L90" s="5">
        <f>'Supporting Schedule'!K50/365*-Modelling!L$23</f>
        <v>6773830.1345437421</v>
      </c>
    </row>
    <row r="91" spans="2:12" outlineLevel="1">
      <c r="B91" s="10" t="s">
        <v>61</v>
      </c>
      <c r="D91" s="36">
        <v>51650</v>
      </c>
      <c r="E91" s="36">
        <v>13652</v>
      </c>
      <c r="F91" s="36">
        <v>125041</v>
      </c>
      <c r="G91" s="76">
        <f>F91</f>
        <v>125041</v>
      </c>
      <c r="H91" s="174">
        <v>272000</v>
      </c>
      <c r="I91" s="5">
        <f>G91</f>
        <v>125041</v>
      </c>
      <c r="J91" s="5">
        <f t="shared" ref="J91:L91" si="44">I91</f>
        <v>125041</v>
      </c>
      <c r="K91" s="5">
        <f t="shared" si="44"/>
        <v>125041</v>
      </c>
      <c r="L91" s="5">
        <f t="shared" si="44"/>
        <v>125041</v>
      </c>
    </row>
    <row r="92" spans="2:12" outlineLevel="1">
      <c r="D92" s="13">
        <f>SUM(D87:D91)</f>
        <v>4469487</v>
      </c>
      <c r="E92" s="13">
        <f t="shared" ref="E92:F92" si="45">SUM(E87:E91)</f>
        <v>4775876</v>
      </c>
      <c r="F92" s="13">
        <f t="shared" si="45"/>
        <v>5263211</v>
      </c>
      <c r="G92" s="81">
        <f ca="1">SUM(G87:G91)</f>
        <v>5507268.2959239213</v>
      </c>
      <c r="H92" s="184">
        <f>SUM(H87:H91)</f>
        <v>6405000</v>
      </c>
      <c r="I92" s="13">
        <f ca="1">SUM(I87:I91)</f>
        <v>6583713.7551087076</v>
      </c>
      <c r="J92" s="13">
        <f ca="1">SUM(J87:J91)</f>
        <v>7875448.3061304474</v>
      </c>
      <c r="K92" s="13">
        <f ca="1">SUM(K87:K91)</f>
        <v>9038009.4020500127</v>
      </c>
      <c r="L92" s="13">
        <f ca="1">SUM(L87:L91)</f>
        <v>10374954.662357513</v>
      </c>
    </row>
    <row r="93" spans="2:12" outlineLevel="1">
      <c r="D93" s="4"/>
      <c r="E93" s="4"/>
      <c r="F93" s="4"/>
      <c r="G93" s="88"/>
      <c r="H93" s="198"/>
      <c r="I93" s="4"/>
      <c r="J93" s="4"/>
      <c r="K93" s="4"/>
      <c r="L93" s="4"/>
    </row>
    <row r="94" spans="2:12" outlineLevel="1">
      <c r="B94" s="6" t="s">
        <v>62</v>
      </c>
      <c r="D94" s="13">
        <f t="shared" ref="D94:L94" si="46">D92+D84</f>
        <v>4495114</v>
      </c>
      <c r="E94" s="13">
        <f t="shared" si="46"/>
        <v>4957066</v>
      </c>
      <c r="F94" s="13">
        <f t="shared" si="46"/>
        <v>5263211</v>
      </c>
      <c r="G94" s="81">
        <f t="shared" ca="1" si="46"/>
        <v>5507268.2959239213</v>
      </c>
      <c r="H94" s="184">
        <f t="shared" si="46"/>
        <v>12761000</v>
      </c>
      <c r="I94" s="13">
        <f t="shared" ca="1" si="46"/>
        <v>6583713.7551087076</v>
      </c>
      <c r="J94" s="13">
        <f t="shared" ca="1" si="46"/>
        <v>7875448.3061304474</v>
      </c>
      <c r="K94" s="13">
        <f t="shared" ca="1" si="46"/>
        <v>9038009.4020500127</v>
      </c>
      <c r="L94" s="13">
        <f t="shared" ca="1" si="46"/>
        <v>10374954.662357513</v>
      </c>
    </row>
    <row r="95" spans="2:12" outlineLevel="1">
      <c r="D95" s="4"/>
      <c r="E95" s="4"/>
      <c r="F95" s="4"/>
      <c r="G95" s="88"/>
      <c r="H95" s="198"/>
      <c r="I95" s="4"/>
      <c r="J95" s="4"/>
      <c r="K95" s="4"/>
      <c r="L95" s="4"/>
    </row>
    <row r="96" spans="2:12" outlineLevel="1">
      <c r="B96" s="18" t="s">
        <v>63</v>
      </c>
      <c r="C96" s="19"/>
      <c r="D96" s="24">
        <f>SUM(D94,D79)</f>
        <v>49142395</v>
      </c>
      <c r="E96" s="24">
        <f t="shared" ref="E96:L96" si="47">SUM(E94,E79)</f>
        <v>49600507</v>
      </c>
      <c r="F96" s="24">
        <f t="shared" si="47"/>
        <v>54845090</v>
      </c>
      <c r="G96" s="89">
        <f t="shared" ca="1" si="47"/>
        <v>58723587.308212236</v>
      </c>
      <c r="H96" s="199">
        <f t="shared" si="47"/>
        <v>66426971</v>
      </c>
      <c r="I96" s="24">
        <f t="shared" ca="1" si="47"/>
        <v>66672551.007060103</v>
      </c>
      <c r="J96" s="24">
        <f t="shared" ca="1" si="47"/>
        <v>74968252.07790257</v>
      </c>
      <c r="K96" s="24">
        <f t="shared" ca="1" si="47"/>
        <v>85290949.252696365</v>
      </c>
      <c r="L96" s="24">
        <f t="shared" ca="1" si="47"/>
        <v>95890604.507886395</v>
      </c>
    </row>
    <row r="97" spans="1:18" outlineLevel="1">
      <c r="D97" s="4"/>
      <c r="E97" s="4"/>
      <c r="F97" s="4"/>
      <c r="G97" s="88"/>
      <c r="H97" s="190"/>
      <c r="I97" s="4"/>
      <c r="J97" s="4"/>
      <c r="K97" s="4"/>
      <c r="L97" s="4"/>
    </row>
    <row r="98" spans="1:18" outlineLevel="1">
      <c r="B98" s="6" t="s">
        <v>64</v>
      </c>
      <c r="D98" s="4"/>
      <c r="E98" s="4"/>
      <c r="F98" s="4"/>
      <c r="G98" s="88"/>
      <c r="H98" s="190"/>
      <c r="I98" s="4"/>
      <c r="J98" s="4"/>
      <c r="K98" s="4"/>
      <c r="L98" s="4"/>
    </row>
    <row r="99" spans="1:18" outlineLevel="1">
      <c r="B99" s="23" t="s">
        <v>65</v>
      </c>
      <c r="D99" s="64" t="str">
        <f>IF(D96-D73=0,"Y","N")</f>
        <v>Y</v>
      </c>
      <c r="E99" s="64" t="str">
        <f t="shared" ref="E99:F99" si="48">IF(E96-E73=0,"Y","N")</f>
        <v>Y</v>
      </c>
      <c r="F99" s="64" t="str">
        <f t="shared" si="48"/>
        <v>Y</v>
      </c>
      <c r="G99" s="90" t="str">
        <f ca="1">IF(G96-G73&lt;1,"Y","N")</f>
        <v>Y</v>
      </c>
      <c r="H99" s="191" t="str">
        <f>IF(H96-H73&lt;1,"Y","N")</f>
        <v>Y</v>
      </c>
      <c r="I99" s="64" t="str">
        <f ca="1">IF(I96-I73&lt;0.5,"Y","N")</f>
        <v>Y</v>
      </c>
      <c r="J99" s="64" t="str">
        <f t="shared" ref="J99:L99" ca="1" si="49">IF(J96-J73&lt;0.5,"Y","N")</f>
        <v>Y</v>
      </c>
      <c r="K99" s="64" t="str">
        <f t="shared" ca="1" si="49"/>
        <v>Y</v>
      </c>
      <c r="L99" s="64" t="str">
        <f t="shared" ca="1" si="49"/>
        <v>Y</v>
      </c>
      <c r="R99" s="4"/>
    </row>
    <row r="100" spans="1:18">
      <c r="B100" s="23" t="s">
        <v>66</v>
      </c>
      <c r="D100" s="65">
        <f>D96-D73</f>
        <v>0</v>
      </c>
      <c r="E100" s="65">
        <f t="shared" ref="E100:L100" si="50">E96-E73</f>
        <v>0</v>
      </c>
      <c r="F100" s="65">
        <f t="shared" si="50"/>
        <v>0</v>
      </c>
      <c r="G100" s="112">
        <f t="shared" ca="1" si="50"/>
        <v>0</v>
      </c>
      <c r="H100" s="192">
        <f>IF(H96-H73&lt;1,0,H96-H73&lt;1)</f>
        <v>0</v>
      </c>
      <c r="I100" s="65">
        <f t="shared" ca="1" si="50"/>
        <v>0</v>
      </c>
      <c r="J100" s="65">
        <f t="shared" ca="1" si="50"/>
        <v>0</v>
      </c>
      <c r="K100" s="65">
        <f t="shared" ca="1" si="50"/>
        <v>0</v>
      </c>
      <c r="L100" s="65">
        <f t="shared" ca="1" si="50"/>
        <v>0</v>
      </c>
    </row>
    <row r="101" spans="1:18">
      <c r="D101" s="4"/>
      <c r="E101" s="4"/>
      <c r="F101" s="4"/>
      <c r="G101" s="88"/>
      <c r="H101" s="4"/>
      <c r="I101" s="4"/>
      <c r="J101" s="4"/>
      <c r="K101" s="4"/>
      <c r="Q101" s="4"/>
    </row>
    <row r="102" spans="1:18" ht="22">
      <c r="A102" s="1" t="s">
        <v>0</v>
      </c>
      <c r="B102" s="8" t="s">
        <v>67</v>
      </c>
      <c r="C102" s="9"/>
      <c r="D102" s="9"/>
      <c r="E102" s="9"/>
      <c r="F102" s="9"/>
      <c r="G102" s="74"/>
      <c r="H102" s="9"/>
      <c r="I102" s="9"/>
      <c r="J102" s="9"/>
      <c r="K102" s="9"/>
      <c r="Q102" s="4"/>
      <c r="R102" s="4"/>
    </row>
    <row r="103" spans="1:18" outlineLevel="1">
      <c r="B103" s="6" t="s">
        <v>2</v>
      </c>
      <c r="D103" s="40">
        <v>2021</v>
      </c>
      <c r="E103" s="26">
        <f>1+D103</f>
        <v>2022</v>
      </c>
      <c r="F103" s="26">
        <f>1+E103</f>
        <v>2023</v>
      </c>
      <c r="G103" s="91">
        <f>1+F103</f>
        <v>2024</v>
      </c>
      <c r="H103" s="27">
        <f>1+G103</f>
        <v>2025</v>
      </c>
      <c r="I103" s="27">
        <f t="shared" ref="I103" si="51">1+H103</f>
        <v>2026</v>
      </c>
      <c r="J103" s="27">
        <f t="shared" ref="J103" si="52">1+I103</f>
        <v>2027</v>
      </c>
      <c r="K103" s="27">
        <f t="shared" ref="K103" si="53">1+J103</f>
        <v>2028</v>
      </c>
      <c r="Q103" s="4"/>
      <c r="R103" s="4"/>
    </row>
    <row r="104" spans="1:18" outlineLevel="1">
      <c r="B104" s="6" t="s">
        <v>68</v>
      </c>
      <c r="D104" s="25"/>
      <c r="E104" s="25"/>
      <c r="F104" s="25"/>
      <c r="G104" s="92"/>
      <c r="H104" s="25"/>
      <c r="I104" s="25"/>
      <c r="J104" s="25"/>
      <c r="K104" s="25"/>
    </row>
    <row r="105" spans="1:18" outlineLevel="1">
      <c r="B105" s="10" t="s">
        <v>18</v>
      </c>
      <c r="D105" s="5">
        <f>D36</f>
        <v>12786304</v>
      </c>
      <c r="E105" s="5">
        <f t="shared" ref="E105:G105" si="54">E36</f>
        <v>12373194</v>
      </c>
      <c r="F105" s="5">
        <f t="shared" si="54"/>
        <v>14487609</v>
      </c>
      <c r="G105" s="76">
        <f t="shared" si="54"/>
        <v>16491193.922783704</v>
      </c>
      <c r="H105" s="5">
        <f ca="1">I36</f>
        <v>19811339.556162097</v>
      </c>
      <c r="I105" s="5">
        <f ca="1">J36</f>
        <v>23790287.195931409</v>
      </c>
      <c r="J105" s="5">
        <f ca="1">K36</f>
        <v>27288857.623953272</v>
      </c>
      <c r="K105" s="5">
        <f ca="1">L36</f>
        <v>31299639.324310616</v>
      </c>
      <c r="L105" s="5"/>
    </row>
    <row r="106" spans="1:18" outlineLevel="1">
      <c r="B106" s="30" t="s">
        <v>69</v>
      </c>
      <c r="D106" s="5"/>
      <c r="E106" s="5"/>
      <c r="F106" s="5"/>
      <c r="G106" s="76"/>
      <c r="H106" s="5"/>
      <c r="I106" s="5"/>
      <c r="J106" s="5"/>
      <c r="K106" s="5"/>
      <c r="L106" s="5"/>
    </row>
    <row r="107" spans="1:18" outlineLevel="1">
      <c r="B107" s="28" t="s">
        <v>70</v>
      </c>
      <c r="D107" s="43">
        <f>D32*-1</f>
        <v>2052</v>
      </c>
      <c r="E107" s="43">
        <f t="shared" ref="E107:F107" si="55">E32*-1</f>
        <v>0</v>
      </c>
      <c r="F107" s="43">
        <f t="shared" si="55"/>
        <v>0</v>
      </c>
      <c r="G107" s="76">
        <f>F107</f>
        <v>0</v>
      </c>
      <c r="H107" s="5">
        <f>G107</f>
        <v>0</v>
      </c>
      <c r="I107" s="5">
        <f t="shared" ref="I107:K107" si="56">H107</f>
        <v>0</v>
      </c>
      <c r="J107" s="5">
        <f t="shared" si="56"/>
        <v>0</v>
      </c>
      <c r="K107" s="5">
        <f t="shared" si="56"/>
        <v>0</v>
      </c>
      <c r="L107" s="5"/>
    </row>
    <row r="108" spans="1:18" outlineLevel="1">
      <c r="B108" s="28" t="s">
        <v>71</v>
      </c>
      <c r="D108" s="43">
        <f>D31*-1</f>
        <v>923560</v>
      </c>
      <c r="E108" s="43">
        <f t="shared" ref="E108:G108" si="57">E31*-1</f>
        <v>1236989</v>
      </c>
      <c r="F108" s="43">
        <f t="shared" si="57"/>
        <v>1116963</v>
      </c>
      <c r="G108" s="93">
        <f t="shared" si="57"/>
        <v>1278871.2962962962</v>
      </c>
      <c r="H108" s="43">
        <f>I31*-1</f>
        <v>1521153.1192139029</v>
      </c>
      <c r="I108" s="43">
        <f>J31*-1</f>
        <v>1808704.0145197893</v>
      </c>
      <c r="J108" s="43">
        <f>K31*-1</f>
        <v>2149982.2680656025</v>
      </c>
      <c r="K108" s="43">
        <f>L31*-1</f>
        <v>2555026.5515110875</v>
      </c>
      <c r="L108" s="5"/>
    </row>
    <row r="109" spans="1:18" outlineLevel="1">
      <c r="B109" s="28" t="s">
        <v>72</v>
      </c>
      <c r="D109" s="36">
        <v>-200046</v>
      </c>
      <c r="E109" s="36">
        <v>-392597</v>
      </c>
      <c r="F109" s="36">
        <v>-251179</v>
      </c>
      <c r="G109" s="76">
        <v>-200046</v>
      </c>
      <c r="H109" s="5">
        <v>-392597</v>
      </c>
      <c r="I109" s="5">
        <v>-251179</v>
      </c>
      <c r="J109" s="5">
        <v>-200046</v>
      </c>
      <c r="K109" s="5">
        <v>-392597</v>
      </c>
      <c r="L109" s="36"/>
    </row>
    <row r="110" spans="1:18" outlineLevel="1">
      <c r="B110" s="31" t="s">
        <v>73</v>
      </c>
      <c r="D110" s="5"/>
      <c r="G110" s="76"/>
      <c r="H110" s="5"/>
      <c r="I110" s="5"/>
      <c r="J110" s="5"/>
      <c r="K110" s="5"/>
      <c r="L110" s="5"/>
    </row>
    <row r="111" spans="1:18" outlineLevel="1">
      <c r="B111" s="29" t="s">
        <v>74</v>
      </c>
      <c r="D111" s="36">
        <v>-227296</v>
      </c>
      <c r="E111" s="36">
        <v>-369235</v>
      </c>
      <c r="F111" s="36">
        <v>-320460</v>
      </c>
      <c r="G111" s="76">
        <f>-(G56+G64)*G112</f>
        <v>-316107.24235702516</v>
      </c>
      <c r="H111" s="5">
        <f>-(I56+I64)*H112</f>
        <v>-197319.49965517689</v>
      </c>
      <c r="I111" s="5">
        <f>-(J56+J64)*I112</f>
        <v>-289694.6896338645</v>
      </c>
      <c r="J111" s="5">
        <f>-(K56+K64)*J112</f>
        <v>-306652.24024172389</v>
      </c>
      <c r="K111" s="5">
        <f>-(L56+L64)*K112</f>
        <v>-166554.18928904142</v>
      </c>
      <c r="L111" s="36"/>
    </row>
    <row r="112" spans="1:18" outlineLevel="1">
      <c r="B112" s="67" t="s">
        <v>75</v>
      </c>
      <c r="D112" s="59">
        <f>-D111/(D56+D64)</f>
        <v>1.197891968164288E-2</v>
      </c>
      <c r="E112" s="59">
        <f t="shared" ref="E112:F112" si="58">-E111/(E56+E64)</f>
        <v>3.4545210782061436E-2</v>
      </c>
      <c r="F112" s="59">
        <f t="shared" si="58"/>
        <v>1.9345589524332484E-2</v>
      </c>
      <c r="G112" s="94">
        <f>F112</f>
        <v>1.9345589524332484E-2</v>
      </c>
      <c r="H112" s="59">
        <f>G112</f>
        <v>1.9345589524332484E-2</v>
      </c>
      <c r="I112" s="59">
        <f t="shared" ref="I112:K112" si="59">H112</f>
        <v>1.9345589524332484E-2</v>
      </c>
      <c r="J112" s="59">
        <f t="shared" si="59"/>
        <v>1.9345589524332484E-2</v>
      </c>
      <c r="K112" s="59">
        <f t="shared" si="59"/>
        <v>1.9345589524332484E-2</v>
      </c>
      <c r="L112" s="36"/>
    </row>
    <row r="113" spans="2:12" outlineLevel="1">
      <c r="B113" s="29" t="s">
        <v>76</v>
      </c>
      <c r="D113" s="36">
        <v>0</v>
      </c>
      <c r="E113" s="36">
        <v>0</v>
      </c>
      <c r="F113" s="36">
        <v>0</v>
      </c>
      <c r="G113" s="76">
        <f>F113</f>
        <v>0</v>
      </c>
      <c r="H113" s="5">
        <f>G113</f>
        <v>0</v>
      </c>
      <c r="I113" s="5">
        <f t="shared" ref="I113:K113" si="60">H113</f>
        <v>0</v>
      </c>
      <c r="J113" s="5">
        <f t="shared" si="60"/>
        <v>0</v>
      </c>
      <c r="K113" s="5">
        <f t="shared" si="60"/>
        <v>0</v>
      </c>
      <c r="L113" s="5"/>
    </row>
    <row r="114" spans="2:12" outlineLevel="1">
      <c r="B114" s="28" t="s">
        <v>77</v>
      </c>
      <c r="D114" s="36">
        <v>-28234</v>
      </c>
      <c r="E114" s="36">
        <v>1287392</v>
      </c>
      <c r="F114" s="36">
        <v>-253513</v>
      </c>
      <c r="G114" s="76">
        <v>-28234</v>
      </c>
      <c r="H114" s="5">
        <v>1287392</v>
      </c>
      <c r="I114" s="5">
        <v>-253513</v>
      </c>
      <c r="J114" s="5">
        <v>-28234</v>
      </c>
      <c r="K114" s="5">
        <v>1287392</v>
      </c>
      <c r="L114" s="36"/>
    </row>
    <row r="115" spans="2:12" outlineLevel="1">
      <c r="B115" s="28" t="s">
        <v>78</v>
      </c>
      <c r="D115" s="36">
        <v>0</v>
      </c>
      <c r="E115" s="36">
        <v>15867</v>
      </c>
      <c r="F115" s="36">
        <v>9161</v>
      </c>
      <c r="G115" s="76">
        <f>(F83+F89)*$C$172</f>
        <v>7012.0104000000001</v>
      </c>
      <c r="H115" s="5">
        <f ca="1">(G83+G89)*$C$172</f>
        <v>0</v>
      </c>
      <c r="I115" s="5">
        <f ca="1">(I83+I89)*$C$172</f>
        <v>0</v>
      </c>
      <c r="J115" s="5">
        <f ca="1">(J83+J89)*$C$172</f>
        <v>0</v>
      </c>
      <c r="K115" s="5">
        <f ca="1">(K83+K89)*$C$172</f>
        <v>0</v>
      </c>
      <c r="L115" s="5"/>
    </row>
    <row r="116" spans="2:12" outlineLevel="1">
      <c r="B116" s="28" t="s">
        <v>79</v>
      </c>
      <c r="D116" s="36">
        <v>0</v>
      </c>
      <c r="E116" s="36">
        <v>-16000</v>
      </c>
      <c r="F116" s="36">
        <v>0</v>
      </c>
      <c r="G116" s="76">
        <f>F116</f>
        <v>0</v>
      </c>
      <c r="H116" s="5">
        <f>G116</f>
        <v>0</v>
      </c>
      <c r="I116" s="5">
        <f t="shared" ref="I116:K116" si="61">H116</f>
        <v>0</v>
      </c>
      <c r="J116" s="5">
        <f t="shared" si="61"/>
        <v>0</v>
      </c>
      <c r="K116" s="5">
        <f t="shared" si="61"/>
        <v>0</v>
      </c>
      <c r="L116" s="5"/>
    </row>
    <row r="117" spans="2:12" outlineLevel="1">
      <c r="B117" s="28" t="s">
        <v>80</v>
      </c>
      <c r="D117" s="36">
        <v>-375000</v>
      </c>
      <c r="E117" s="36">
        <v>-931039</v>
      </c>
      <c r="F117" s="36">
        <v>-58252</v>
      </c>
      <c r="G117" s="76">
        <f>-G145</f>
        <v>-57460.772270428235</v>
      </c>
      <c r="H117" s="5">
        <f t="shared" ref="H117:K117" si="62">-H145</f>
        <v>-35867.988185462666</v>
      </c>
      <c r="I117" s="5">
        <f t="shared" si="62"/>
        <v>-52659.598890819063</v>
      </c>
      <c r="J117" s="5">
        <f t="shared" si="62"/>
        <v>-55742.077945955498</v>
      </c>
      <c r="K117" s="5">
        <f t="shared" si="62"/>
        <v>-30275.587076281725</v>
      </c>
      <c r="L117" s="5"/>
    </row>
    <row r="118" spans="2:12" outlineLevel="1">
      <c r="B118" s="28" t="s">
        <v>81</v>
      </c>
      <c r="D118" s="36">
        <v>-1007</v>
      </c>
      <c r="E118" s="36">
        <v>-1579</v>
      </c>
      <c r="F118" s="36">
        <v>-242378</v>
      </c>
      <c r="G118" s="76">
        <f>F69*G119*-1</f>
        <v>-787.06048392245111</v>
      </c>
      <c r="H118" s="5">
        <f ca="1">G69*H119*-1</f>
        <v>-946.57272253480664</v>
      </c>
      <c r="I118" s="5">
        <f ca="1">I69*I119*-1</f>
        <v>-1030.6273830147902</v>
      </c>
      <c r="J118" s="5">
        <f ca="1">J69*J119*-1</f>
        <v>-714.19027702304356</v>
      </c>
      <c r="K118" s="5">
        <f ca="1">K69*K119*-1</f>
        <v>-593.11846557372337</v>
      </c>
      <c r="L118" s="5"/>
    </row>
    <row r="119" spans="2:12" outlineLevel="1">
      <c r="B119" s="66" t="s">
        <v>82</v>
      </c>
      <c r="D119" s="59"/>
      <c r="E119" s="59">
        <f>-E118/D69</f>
        <v>1.9573282605599347E-4</v>
      </c>
      <c r="F119" s="59">
        <f>-F118/E69</f>
        <v>4.8647071196553614E-2</v>
      </c>
      <c r="G119" s="94">
        <f>E119</f>
        <v>1.9573282605599347E-4</v>
      </c>
      <c r="H119" s="59">
        <f>G119</f>
        <v>1.9573282605599347E-4</v>
      </c>
      <c r="I119" s="59">
        <f t="shared" ref="I119:K119" si="63">H119</f>
        <v>1.9573282605599347E-4</v>
      </c>
      <c r="J119" s="59">
        <f t="shared" si="63"/>
        <v>1.9573282605599347E-4</v>
      </c>
      <c r="K119" s="59">
        <f t="shared" si="63"/>
        <v>1.9573282605599347E-4</v>
      </c>
      <c r="L119" s="5"/>
    </row>
    <row r="120" spans="2:12" outlineLevel="1">
      <c r="B120" s="28" t="s">
        <v>83</v>
      </c>
      <c r="D120" s="36">
        <v>0</v>
      </c>
      <c r="E120" s="36">
        <v>0</v>
      </c>
      <c r="F120" s="36">
        <v>65</v>
      </c>
      <c r="G120" s="100">
        <v>0</v>
      </c>
      <c r="H120" s="5">
        <v>0</v>
      </c>
      <c r="I120" s="5">
        <v>0</v>
      </c>
      <c r="J120" s="5">
        <v>0</v>
      </c>
      <c r="K120" s="5">
        <v>0</v>
      </c>
      <c r="L120" s="5"/>
    </row>
    <row r="121" spans="2:12" outlineLevel="1">
      <c r="B121" s="28" t="s">
        <v>84</v>
      </c>
      <c r="D121" s="36">
        <v>114938</v>
      </c>
      <c r="E121" s="36">
        <v>-113778</v>
      </c>
      <c r="F121" s="36">
        <v>-48603</v>
      </c>
      <c r="G121" s="76">
        <v>114938</v>
      </c>
      <c r="H121" s="5">
        <v>-113778</v>
      </c>
      <c r="I121" s="5">
        <v>-48603</v>
      </c>
      <c r="J121" s="5">
        <v>114938</v>
      </c>
      <c r="K121" s="5">
        <v>-113778</v>
      </c>
      <c r="L121" s="36"/>
    </row>
    <row r="122" spans="2:12" outlineLevel="1">
      <c r="B122" s="6" t="s">
        <v>85</v>
      </c>
      <c r="D122" s="33">
        <f t="shared" ref="D122:E122" si="64">SUM(D120:D121,D113:D118,D105:D111)</f>
        <v>12995271</v>
      </c>
      <c r="E122" s="33">
        <f t="shared" si="64"/>
        <v>13089214</v>
      </c>
      <c r="F122" s="33">
        <f>SUM(F120:F121,F113:F118,F105:F111)</f>
        <v>14439413</v>
      </c>
      <c r="G122" s="95">
        <f t="shared" ref="G122:K122" si="65">SUM(G120:G121,G113:G118,G105:G111)</f>
        <v>17289380.154368624</v>
      </c>
      <c r="H122" s="33">
        <f t="shared" ca="1" si="65"/>
        <v>21879375.614812825</v>
      </c>
      <c r="I122" s="33">
        <f t="shared" ca="1" si="65"/>
        <v>24702311.294543497</v>
      </c>
      <c r="J122" s="33">
        <f t="shared" ca="1" si="65"/>
        <v>28962389.383554168</v>
      </c>
      <c r="K122" s="33">
        <f t="shared" ca="1" si="65"/>
        <v>34438259.980990805</v>
      </c>
    </row>
    <row r="123" spans="2:12" outlineLevel="1">
      <c r="D123" s="5"/>
      <c r="E123" s="5"/>
      <c r="F123" s="5"/>
      <c r="G123" s="76"/>
      <c r="H123" s="5"/>
      <c r="I123" s="5"/>
      <c r="J123" s="5"/>
      <c r="K123" s="5"/>
    </row>
    <row r="124" spans="2:12" outlineLevel="1">
      <c r="B124" s="6" t="s">
        <v>86</v>
      </c>
      <c r="D124" s="4"/>
      <c r="E124" s="4"/>
      <c r="F124" s="4"/>
      <c r="G124" s="88"/>
      <c r="H124" s="4"/>
      <c r="I124" s="4"/>
      <c r="J124" s="4"/>
      <c r="K124" s="4"/>
    </row>
    <row r="125" spans="2:12" outlineLevel="1">
      <c r="B125" s="10" t="s">
        <v>87</v>
      </c>
      <c r="D125" s="36">
        <v>5160362</v>
      </c>
      <c r="E125" s="36">
        <v>-2450773</v>
      </c>
      <c r="F125" s="36">
        <v>202354</v>
      </c>
      <c r="G125" s="76">
        <f>SUM('Supporting Schedule'!G37:G39)</f>
        <v>-882866.13000000012</v>
      </c>
      <c r="H125" s="5">
        <f>SUM('Supporting Schedule'!H37:H39)</f>
        <v>-1014541.2259999994</v>
      </c>
      <c r="I125" s="5">
        <f>SUM('Supporting Schedule'!I37:I39)</f>
        <v>-1217449.4711999998</v>
      </c>
      <c r="J125" s="5">
        <f>SUM('Supporting Schedule'!J37:J39)</f>
        <v>-1095704.524079998</v>
      </c>
      <c r="K125" s="5">
        <f>SUM('Supporting Schedule'!K37:K39)</f>
        <v>-1260060.2026919995</v>
      </c>
    </row>
    <row r="126" spans="2:12" outlineLevel="1">
      <c r="B126" s="10" t="s">
        <v>88</v>
      </c>
      <c r="D126" s="36">
        <v>-11954</v>
      </c>
      <c r="E126" s="36">
        <v>176292</v>
      </c>
      <c r="F126" s="36">
        <v>372184</v>
      </c>
      <c r="G126" s="76">
        <f>SUM('Supporting Schedule'!G40:G42)</f>
        <v>415920.29592392163</v>
      </c>
      <c r="H126" s="5">
        <f>SUM('Supporting Schedule'!H40:H42)</f>
        <v>1076445.4591847861</v>
      </c>
      <c r="I126" s="5">
        <f>SUM('Supporting Schedule'!I40:I42)</f>
        <v>1291734.5510217398</v>
      </c>
      <c r="J126" s="5">
        <f>SUM('Supporting Schedule'!J40:J42)</f>
        <v>1162561.095919566</v>
      </c>
      <c r="K126" s="5">
        <f>SUM('Supporting Schedule'!K40:K42)</f>
        <v>1336945.2603075006</v>
      </c>
    </row>
    <row r="127" spans="2:12" outlineLevel="1">
      <c r="B127" s="6" t="s">
        <v>89</v>
      </c>
      <c r="D127" s="33">
        <f>SUM(D125:D126)</f>
        <v>5148408</v>
      </c>
      <c r="E127" s="33">
        <f t="shared" ref="E127:K127" si="66">SUM(E125:E126)</f>
        <v>-2274481</v>
      </c>
      <c r="F127" s="33">
        <f t="shared" si="66"/>
        <v>574538</v>
      </c>
      <c r="G127" s="95">
        <f t="shared" si="66"/>
        <v>-466945.83407607849</v>
      </c>
      <c r="H127" s="33">
        <f t="shared" si="66"/>
        <v>61904.23318478663</v>
      </c>
      <c r="I127" s="33">
        <f t="shared" si="66"/>
        <v>74285.079821740044</v>
      </c>
      <c r="J127" s="33">
        <f t="shared" si="66"/>
        <v>66856.571839567972</v>
      </c>
      <c r="K127" s="33">
        <f t="shared" si="66"/>
        <v>76885.057615501108</v>
      </c>
    </row>
    <row r="128" spans="2:12" outlineLevel="1">
      <c r="D128" s="4"/>
      <c r="E128" s="4"/>
      <c r="F128" s="4"/>
      <c r="G128" s="88"/>
      <c r="H128" s="4"/>
      <c r="I128" s="4"/>
      <c r="J128" s="4"/>
      <c r="K128" s="4"/>
    </row>
    <row r="129" spans="2:11" outlineLevel="1">
      <c r="B129" s="6" t="s">
        <v>90</v>
      </c>
      <c r="D129" s="33">
        <f>SUM(D127,D122)</f>
        <v>18143679</v>
      </c>
      <c r="E129" s="33">
        <f t="shared" ref="E129:K129" si="67">SUM(E127,E122)</f>
        <v>10814733</v>
      </c>
      <c r="F129" s="33">
        <f t="shared" si="67"/>
        <v>15013951</v>
      </c>
      <c r="G129" s="95">
        <f t="shared" si="67"/>
        <v>16822434.320292547</v>
      </c>
      <c r="H129" s="33">
        <f t="shared" ca="1" si="67"/>
        <v>21941279.847997613</v>
      </c>
      <c r="I129" s="33">
        <f t="shared" ca="1" si="67"/>
        <v>24776596.374365237</v>
      </c>
      <c r="J129" s="33">
        <f t="shared" ca="1" si="67"/>
        <v>29029245.955393735</v>
      </c>
      <c r="K129" s="33">
        <f t="shared" ca="1" si="67"/>
        <v>34515145.038606308</v>
      </c>
    </row>
    <row r="130" spans="2:11" outlineLevel="1">
      <c r="D130" s="4"/>
      <c r="E130" s="4"/>
      <c r="F130" s="4"/>
      <c r="G130" s="88"/>
      <c r="H130" s="4"/>
      <c r="I130" s="4"/>
      <c r="J130" s="4"/>
      <c r="K130" s="4"/>
    </row>
    <row r="131" spans="2:11" outlineLevel="1">
      <c r="B131" t="s">
        <v>91</v>
      </c>
      <c r="D131" s="43">
        <f>D118*-1</f>
        <v>1007</v>
      </c>
      <c r="E131" s="43">
        <f>E118*-1</f>
        <v>1579</v>
      </c>
      <c r="F131" s="43">
        <f>F118*-1</f>
        <v>242378</v>
      </c>
      <c r="G131" s="93">
        <f t="shared" ref="G131:K131" si="68">G118*-1</f>
        <v>787.06048392245111</v>
      </c>
      <c r="H131" s="43">
        <f t="shared" ca="1" si="68"/>
        <v>946.57272253480664</v>
      </c>
      <c r="I131" s="43">
        <f t="shared" ca="1" si="68"/>
        <v>1030.6273830147902</v>
      </c>
      <c r="J131" s="43">
        <f t="shared" ca="1" si="68"/>
        <v>714.19027702304356</v>
      </c>
      <c r="K131" s="43">
        <f t="shared" ca="1" si="68"/>
        <v>593.11846557372337</v>
      </c>
    </row>
    <row r="132" spans="2:11" outlineLevel="1">
      <c r="B132" t="s">
        <v>92</v>
      </c>
      <c r="D132" s="36">
        <v>-3815003</v>
      </c>
      <c r="E132" s="36">
        <v>-3691824</v>
      </c>
      <c r="F132" s="36">
        <v>-3041462</v>
      </c>
      <c r="G132" s="76">
        <f>G37*G133</f>
        <v>-3960371.2604953907</v>
      </c>
      <c r="H132" s="5">
        <f ca="1">I37*H133</f>
        <v>-4757706.4570044074</v>
      </c>
      <c r="I132" s="5">
        <f ca="1">J37*I133</f>
        <v>-5713253.3963795761</v>
      </c>
      <c r="J132" s="5">
        <f ca="1">K37*J133</f>
        <v>-6553437.426767718</v>
      </c>
      <c r="K132" s="5">
        <f ca="1">L37*K133</f>
        <v>-7516629.3371042395</v>
      </c>
    </row>
    <row r="133" spans="2:11" outlineLevel="1">
      <c r="B133" s="62" t="s">
        <v>93</v>
      </c>
      <c r="D133" s="36"/>
      <c r="E133" s="61">
        <f>-E132/(-E37-E135)</f>
        <v>1.2153945018883627</v>
      </c>
      <c r="F133" s="61">
        <f>-F132/(-F37-F135)</f>
        <v>0.87418203390483296</v>
      </c>
      <c r="G133" s="96">
        <v>1</v>
      </c>
      <c r="H133" s="61">
        <v>1</v>
      </c>
      <c r="I133" s="61">
        <v>1</v>
      </c>
      <c r="J133" s="61">
        <v>1</v>
      </c>
      <c r="K133" s="61">
        <v>1</v>
      </c>
    </row>
    <row r="134" spans="2:11" outlineLevel="1">
      <c r="B134" s="63" t="s">
        <v>94</v>
      </c>
      <c r="D134" s="36">
        <v>0</v>
      </c>
      <c r="E134" s="36">
        <v>0</v>
      </c>
      <c r="F134" s="36">
        <v>0</v>
      </c>
      <c r="G134" s="96">
        <f>F134</f>
        <v>0</v>
      </c>
      <c r="H134" s="61">
        <f>G134</f>
        <v>0</v>
      </c>
      <c r="I134" s="61">
        <f t="shared" ref="I134:K134" si="69">H134</f>
        <v>0</v>
      </c>
      <c r="J134" s="61">
        <f t="shared" si="69"/>
        <v>0</v>
      </c>
      <c r="K134" s="61">
        <f t="shared" si="69"/>
        <v>0</v>
      </c>
    </row>
    <row r="135" spans="2:11" outlineLevel="1">
      <c r="B135" t="s">
        <v>95</v>
      </c>
      <c r="D135" s="36">
        <v>400260</v>
      </c>
      <c r="E135" s="36">
        <v>233046</v>
      </c>
      <c r="F135" s="36">
        <v>0</v>
      </c>
      <c r="G135" s="76">
        <f>F135</f>
        <v>0</v>
      </c>
      <c r="H135" s="5">
        <f>G135</f>
        <v>0</v>
      </c>
      <c r="I135" s="5">
        <f t="shared" ref="I135:K135" si="70">H135</f>
        <v>0</v>
      </c>
      <c r="J135" s="5">
        <f t="shared" si="70"/>
        <v>0</v>
      </c>
      <c r="K135" s="5">
        <f t="shared" si="70"/>
        <v>0</v>
      </c>
    </row>
    <row r="136" spans="2:11" outlineLevel="1">
      <c r="D136" s="4"/>
      <c r="E136" s="4"/>
      <c r="F136" s="4"/>
      <c r="G136" s="88"/>
      <c r="H136" s="4"/>
      <c r="I136" s="4"/>
      <c r="J136" s="4"/>
      <c r="K136" s="4"/>
    </row>
    <row r="137" spans="2:11" ht="16" outlineLevel="1" thickBot="1">
      <c r="B137" s="6" t="s">
        <v>96</v>
      </c>
      <c r="D137" s="35">
        <f t="shared" ref="D137:K137" si="71">SUM(D134:D135,D131:D132,D129)</f>
        <v>14729943</v>
      </c>
      <c r="E137" s="35">
        <f t="shared" si="71"/>
        <v>7357534</v>
      </c>
      <c r="F137" s="35">
        <f t="shared" si="71"/>
        <v>12214867</v>
      </c>
      <c r="G137" s="97">
        <f t="shared" si="71"/>
        <v>12862850.120281078</v>
      </c>
      <c r="H137" s="35">
        <f t="shared" ca="1" si="71"/>
        <v>17184519.96371574</v>
      </c>
      <c r="I137" s="35">
        <f t="shared" ca="1" si="71"/>
        <v>19064373.605368674</v>
      </c>
      <c r="J137" s="35">
        <f t="shared" ca="1" si="71"/>
        <v>22476522.718903042</v>
      </c>
      <c r="K137" s="35">
        <f t="shared" ca="1" si="71"/>
        <v>26999108.819967642</v>
      </c>
    </row>
    <row r="138" spans="2:11" outlineLevel="1">
      <c r="D138" s="4"/>
      <c r="E138" s="4"/>
      <c r="F138" s="4"/>
      <c r="G138" s="88"/>
      <c r="H138" s="4"/>
      <c r="I138" s="4"/>
      <c r="J138" s="4"/>
      <c r="K138" s="4"/>
    </row>
    <row r="139" spans="2:11" outlineLevel="1">
      <c r="D139" s="4"/>
      <c r="E139" s="4"/>
      <c r="F139" s="4"/>
      <c r="G139" s="88"/>
      <c r="H139" s="4"/>
      <c r="I139" s="4"/>
      <c r="J139" s="4"/>
      <c r="K139" s="4"/>
    </row>
    <row r="140" spans="2:11" outlineLevel="1">
      <c r="B140" s="6" t="s">
        <v>97</v>
      </c>
      <c r="D140" s="4"/>
      <c r="E140" s="4"/>
      <c r="F140" s="4"/>
      <c r="G140" s="88"/>
      <c r="H140" s="4"/>
      <c r="I140" s="4"/>
      <c r="J140" s="4"/>
      <c r="K140" s="4"/>
    </row>
    <row r="141" spans="2:11" outlineLevel="1">
      <c r="B141" s="10" t="s">
        <v>98</v>
      </c>
      <c r="D141" s="5">
        <f t="shared" ref="D141:K141" si="72">D109*-1</f>
        <v>200046</v>
      </c>
      <c r="E141" s="5">
        <f t="shared" si="72"/>
        <v>392597</v>
      </c>
      <c r="F141" s="5">
        <f t="shared" si="72"/>
        <v>251179</v>
      </c>
      <c r="G141" s="76">
        <f t="shared" si="72"/>
        <v>200046</v>
      </c>
      <c r="H141" s="5">
        <f t="shared" si="72"/>
        <v>392597</v>
      </c>
      <c r="I141" s="5">
        <f t="shared" si="72"/>
        <v>251179</v>
      </c>
      <c r="J141" s="5">
        <f t="shared" si="72"/>
        <v>200046</v>
      </c>
      <c r="K141" s="5">
        <f t="shared" si="72"/>
        <v>392597</v>
      </c>
    </row>
    <row r="142" spans="2:11" outlineLevel="1">
      <c r="B142" s="10" t="s">
        <v>73</v>
      </c>
      <c r="D142" s="5"/>
      <c r="E142" s="5"/>
      <c r="G142" s="76"/>
      <c r="H142" s="5"/>
      <c r="I142" s="5"/>
      <c r="J142" s="5"/>
      <c r="K142" s="5"/>
    </row>
    <row r="143" spans="2:11" outlineLevel="1">
      <c r="B143" s="41" t="s">
        <v>74</v>
      </c>
      <c r="D143" s="5">
        <f t="shared" ref="D143:K143" si="73">D111*-1</f>
        <v>227296</v>
      </c>
      <c r="E143" s="5">
        <f t="shared" si="73"/>
        <v>369235</v>
      </c>
      <c r="F143" s="5">
        <f t="shared" si="73"/>
        <v>320460</v>
      </c>
      <c r="G143" s="76">
        <f t="shared" si="73"/>
        <v>316107.24235702516</v>
      </c>
      <c r="H143" s="5">
        <f t="shared" si="73"/>
        <v>197319.49965517689</v>
      </c>
      <c r="I143" s="5">
        <f t="shared" si="73"/>
        <v>289694.6896338645</v>
      </c>
      <c r="J143" s="5">
        <f t="shared" si="73"/>
        <v>306652.24024172389</v>
      </c>
      <c r="K143" s="5">
        <f t="shared" si="73"/>
        <v>166554.18928904142</v>
      </c>
    </row>
    <row r="144" spans="2:11" outlineLevel="1">
      <c r="B144" s="41" t="s">
        <v>76</v>
      </c>
      <c r="D144" s="5">
        <f t="shared" ref="D144:K144" si="74">D113*-1</f>
        <v>0</v>
      </c>
      <c r="E144" s="5">
        <f t="shared" si="74"/>
        <v>0</v>
      </c>
      <c r="F144" s="5">
        <f t="shared" si="74"/>
        <v>0</v>
      </c>
      <c r="G144" s="76">
        <f t="shared" si="74"/>
        <v>0</v>
      </c>
      <c r="H144" s="5">
        <f t="shared" si="74"/>
        <v>0</v>
      </c>
      <c r="I144" s="5">
        <f t="shared" si="74"/>
        <v>0</v>
      </c>
      <c r="J144" s="5">
        <f t="shared" si="74"/>
        <v>0</v>
      </c>
      <c r="K144" s="5">
        <f t="shared" si="74"/>
        <v>0</v>
      </c>
    </row>
    <row r="145" spans="2:12" outlineLevel="1">
      <c r="B145" s="10" t="s">
        <v>80</v>
      </c>
      <c r="D145" s="5">
        <f>D117*-1</f>
        <v>375000</v>
      </c>
      <c r="E145" s="5">
        <f>E117*-1</f>
        <v>931039</v>
      </c>
      <c r="F145" s="5">
        <f>F117*-1</f>
        <v>58252</v>
      </c>
      <c r="G145" s="76">
        <f>SUM(G56+G64)*G146</f>
        <v>57460.772270428235</v>
      </c>
      <c r="H145" s="5">
        <f>SUM(I56+I64)*H146</f>
        <v>35867.988185462666</v>
      </c>
      <c r="I145" s="5">
        <f>SUM(J56+J64)*I146</f>
        <v>52659.598890819063</v>
      </c>
      <c r="J145" s="5">
        <f>SUM(K56+K64)*J146</f>
        <v>55742.077945955498</v>
      </c>
      <c r="K145" s="5">
        <f>SUM(L56+L64)*K146</f>
        <v>30275.587076281725</v>
      </c>
    </row>
    <row r="146" spans="2:12" outlineLevel="1">
      <c r="B146" s="52" t="s">
        <v>99</v>
      </c>
      <c r="D146" s="59">
        <f>D145/(D64+D56)</f>
        <v>1.9763193723673449E-2</v>
      </c>
      <c r="E146" s="59">
        <f>E145/(E64+E56)</f>
        <v>8.7106960340486941E-2</v>
      </c>
      <c r="F146" s="59">
        <f>F145/(F64+F56)</f>
        <v>3.5165676869856328E-3</v>
      </c>
      <c r="G146" s="94">
        <f>F146</f>
        <v>3.5165676869856328E-3</v>
      </c>
      <c r="H146" s="59">
        <f>G146</f>
        <v>3.5165676869856328E-3</v>
      </c>
      <c r="I146" s="59">
        <f t="shared" ref="I146:K146" si="75">H146</f>
        <v>3.5165676869856328E-3</v>
      </c>
      <c r="J146" s="59">
        <f t="shared" si="75"/>
        <v>3.5165676869856328E-3</v>
      </c>
      <c r="K146" s="59">
        <f t="shared" si="75"/>
        <v>3.5165676869856328E-3</v>
      </c>
    </row>
    <row r="147" spans="2:12" outlineLevel="1">
      <c r="B147" s="10" t="s">
        <v>100</v>
      </c>
      <c r="D147" s="36">
        <v>0</v>
      </c>
      <c r="E147" s="36">
        <v>7016860</v>
      </c>
      <c r="F147" s="36">
        <v>-5000000</v>
      </c>
      <c r="G147" s="76">
        <v>0</v>
      </c>
      <c r="H147" s="5">
        <v>7016860</v>
      </c>
      <c r="I147" s="5">
        <v>-5000000</v>
      </c>
      <c r="J147" s="5">
        <v>0</v>
      </c>
      <c r="K147" s="5">
        <v>7016860</v>
      </c>
      <c r="L147" s="36"/>
    </row>
    <row r="148" spans="2:12" outlineLevel="1">
      <c r="B148" s="10" t="s">
        <v>101</v>
      </c>
      <c r="D148" s="36">
        <v>-2059593</v>
      </c>
      <c r="E148" s="36">
        <v>-1152965</v>
      </c>
      <c r="F148" s="36">
        <v>-493940</v>
      </c>
      <c r="G148" s="76">
        <f>'Supporting Schedule'!G5*-1</f>
        <v>-10584000</v>
      </c>
      <c r="H148" s="5">
        <f>'Supporting Schedule'!H5*-1</f>
        <v>-6541609.2187753785</v>
      </c>
      <c r="I148" s="5">
        <f>'Supporting Schedule'!I5*-1</f>
        <v>-7763874.1732589304</v>
      </c>
      <c r="J148" s="5">
        <f>'Supporting Schedule'!J5*-1</f>
        <v>-9214512.8457369581</v>
      </c>
      <c r="K148" s="5">
        <f>'Supporting Schedule'!K5*-1</f>
        <v>-10936195.653028095</v>
      </c>
    </row>
    <row r="149" spans="2:12" outlineLevel="1">
      <c r="B149" s="10" t="s">
        <v>102</v>
      </c>
      <c r="D149" s="36">
        <v>0</v>
      </c>
      <c r="E149" s="36">
        <v>16000</v>
      </c>
      <c r="F149" s="36">
        <v>0</v>
      </c>
      <c r="G149" s="76">
        <v>0</v>
      </c>
      <c r="H149" s="5">
        <v>0</v>
      </c>
      <c r="I149" s="5">
        <v>0</v>
      </c>
      <c r="J149" s="5">
        <v>0</v>
      </c>
      <c r="K149" s="5">
        <v>0</v>
      </c>
    </row>
    <row r="150" spans="2:12" ht="16" outlineLevel="1" thickBot="1">
      <c r="B150" s="6" t="s">
        <v>103</v>
      </c>
      <c r="D150" s="35">
        <f t="shared" ref="D150:E150" si="76">SUM(D147:D149,D145,D143:D144,D141)</f>
        <v>-1257251</v>
      </c>
      <c r="E150" s="35">
        <f t="shared" si="76"/>
        <v>7572766</v>
      </c>
      <c r="F150" s="35">
        <f>SUM(F147:F149,F145,F143:F144,F141)</f>
        <v>-4864049</v>
      </c>
      <c r="G150" s="97">
        <f t="shared" ref="G150:K150" si="77">SUM(G147:G149,G145,G143:G144,G141)</f>
        <v>-10010385.985372547</v>
      </c>
      <c r="H150" s="35">
        <f t="shared" si="77"/>
        <v>1101035.2690652609</v>
      </c>
      <c r="I150" s="35">
        <f t="shared" si="77"/>
        <v>-12170340.884734247</v>
      </c>
      <c r="J150" s="35">
        <f t="shared" si="77"/>
        <v>-8652072.5275492799</v>
      </c>
      <c r="K150" s="35">
        <f t="shared" si="77"/>
        <v>-3329908.8766627721</v>
      </c>
    </row>
    <row r="151" spans="2:12" outlineLevel="1">
      <c r="G151" s="87"/>
    </row>
    <row r="152" spans="2:12" outlineLevel="1">
      <c r="B152" s="6" t="s">
        <v>104</v>
      </c>
      <c r="G152" s="87"/>
    </row>
    <row r="153" spans="2:12" outlineLevel="1">
      <c r="B153" s="10" t="s">
        <v>105</v>
      </c>
      <c r="D153" s="36">
        <v>-6970473</v>
      </c>
      <c r="E153" s="36">
        <v>-6970473</v>
      </c>
      <c r="F153" s="36">
        <v>-6928633</v>
      </c>
      <c r="G153" s="76">
        <f>G154*G46*-1/100</f>
        <v>-8660791.6500000004</v>
      </c>
      <c r="H153" s="5">
        <f ca="1">IF(-G153/I39&gt;=0.6,G153,I39*-0.6)</f>
        <v>-9032179.8594946135</v>
      </c>
      <c r="I153" s="5">
        <f ca="1">IF(-H153/J39&gt;=0.6,H153,J39*-0.6)</f>
        <v>-10846220.2797311</v>
      </c>
      <c r="J153" s="5">
        <f ca="1">IF(-I153/K39&gt;=0.6,I153,K39*-0.6)</f>
        <v>-12441252.118311333</v>
      </c>
      <c r="K153" s="5">
        <f ca="1">IF(-J153/L39&gt;=0.6,J153,L39*-0.6)</f>
        <v>-14269805.992323825</v>
      </c>
    </row>
    <row r="154" spans="2:12" outlineLevel="1">
      <c r="B154" s="140" t="s">
        <v>251</v>
      </c>
      <c r="D154" s="113">
        <f>D153/D46*-100</f>
        <v>3.9999998163682804</v>
      </c>
      <c r="E154" s="113">
        <f t="shared" ref="E154:F154" si="78">E153/E46*-100</f>
        <v>4.0031597661709171</v>
      </c>
      <c r="F154" s="113">
        <f t="shared" si="78"/>
        <v>3.9999998152593821</v>
      </c>
      <c r="G154" s="138">
        <v>5</v>
      </c>
      <c r="H154" s="113">
        <f ca="1">H153/I46*-100</f>
        <v>5.214407772697438</v>
      </c>
      <c r="I154" s="113">
        <f ca="1">I153/J46*-100</f>
        <v>6.261679484998985</v>
      </c>
      <c r="J154" s="113">
        <f ca="1">J153/K46*-100</f>
        <v>7.1825143826842508</v>
      </c>
      <c r="K154" s="113">
        <f ca="1">K153/L46*-100</f>
        <v>8.2381649212885897</v>
      </c>
    </row>
    <row r="155" spans="2:12" outlineLevel="1">
      <c r="B155" s="140" t="s">
        <v>252</v>
      </c>
      <c r="C155" s="141">
        <f>AVERAGE(D155:F155)</f>
        <v>0.69987896918815229</v>
      </c>
      <c r="D155" s="111">
        <f>-D153/D39</f>
        <v>0.70447421945864275</v>
      </c>
      <c r="E155" s="111">
        <f t="shared" ref="E155:F155" si="79">-E153/E39</f>
        <v>0.76576758981723458</v>
      </c>
      <c r="F155" s="111">
        <f t="shared" si="79"/>
        <v>0.62939509828857965</v>
      </c>
      <c r="G155" s="139">
        <f>G153/G39*-1</f>
        <v>0.69115906300906915</v>
      </c>
      <c r="H155" s="111">
        <f ca="1">H153/I39*-1</f>
        <v>0.6</v>
      </c>
      <c r="I155" s="111">
        <f ca="1">I153/J39*-1</f>
        <v>0.6</v>
      </c>
      <c r="J155" s="111">
        <f ca="1">J153/K39*-1</f>
        <v>0.6</v>
      </c>
      <c r="K155" s="111">
        <f ca="1">K153/L39*-1</f>
        <v>0.6</v>
      </c>
    </row>
    <row r="156" spans="2:12" outlineLevel="1">
      <c r="B156" s="10" t="s">
        <v>106</v>
      </c>
      <c r="D156" s="36">
        <v>0</v>
      </c>
      <c r="E156" s="36">
        <v>-840562</v>
      </c>
      <c r="F156" s="36">
        <v>0</v>
      </c>
      <c r="G156" s="76">
        <f>F156</f>
        <v>0</v>
      </c>
      <c r="H156" s="5">
        <f>G156</f>
        <v>0</v>
      </c>
      <c r="I156" s="5">
        <f t="shared" ref="I156:K156" si="80">H156</f>
        <v>0</v>
      </c>
      <c r="J156" s="5">
        <f t="shared" si="80"/>
        <v>0</v>
      </c>
      <c r="K156" s="5">
        <f t="shared" si="80"/>
        <v>0</v>
      </c>
    </row>
    <row r="157" spans="2:12" outlineLevel="1">
      <c r="B157" s="10" t="s">
        <v>107</v>
      </c>
      <c r="D157" s="36">
        <v>0</v>
      </c>
      <c r="E157" s="36">
        <v>324003</v>
      </c>
      <c r="F157" s="36">
        <v>-177168</v>
      </c>
      <c r="G157" s="76">
        <f ca="1">IF($C$173="Yes",IF(G178&gt;0,-MIN(G178,SUM(F83,F89)+G115),-G178),0)</f>
        <v>-178875.0104</v>
      </c>
      <c r="H157" s="5">
        <f ca="1">IF($C$173="Yes",IF(I178&gt;0,-MIN(I178,SUM(G83,G89)+H115),-I178),0)</f>
        <v>0</v>
      </c>
      <c r="I157" s="5">
        <f ca="1">IF($C$173="Yes",IF(J178&gt;0,-MIN(J178,SUM(I83,I89)+I115),-J178),0)</f>
        <v>0</v>
      </c>
      <c r="J157" s="5">
        <f ca="1">IF($C$173="Yes",IF(K178&gt;0,-MIN(K178,SUM(J83,J89)+J115),-K178),0)</f>
        <v>0</v>
      </c>
      <c r="K157" s="5">
        <f ca="1">IF($C$173="Yes",IF(L178&gt;0,-MIN(L178,SUM(K83,K89)+K115),-L178),0)</f>
        <v>0</v>
      </c>
    </row>
    <row r="158" spans="2:12" ht="16" outlineLevel="1" thickBot="1">
      <c r="B158" s="6" t="s">
        <v>108</v>
      </c>
      <c r="D158" s="35">
        <f>SUM(D153,D156:D157)</f>
        <v>-6970473</v>
      </c>
      <c r="E158" s="35">
        <f t="shared" ref="E158:F158" si="81">SUM(E153,E156:E157)</f>
        <v>-7487032</v>
      </c>
      <c r="F158" s="35">
        <f t="shared" si="81"/>
        <v>-7105801</v>
      </c>
      <c r="G158" s="97">
        <f t="shared" ref="G158" ca="1" si="82">SUM(G153,G156:G157)</f>
        <v>-8839666.6603999995</v>
      </c>
      <c r="H158" s="35">
        <f t="shared" ref="H158" ca="1" si="83">SUM(H153,H156:H157)</f>
        <v>-9032179.8594946135</v>
      </c>
      <c r="I158" s="35">
        <f t="shared" ref="I158" ca="1" si="84">SUM(I153,I156:I157)</f>
        <v>-10846220.2797311</v>
      </c>
      <c r="J158" s="35">
        <f t="shared" ref="J158" ca="1" si="85">SUM(J153,J156:J157)</f>
        <v>-12441252.118311333</v>
      </c>
      <c r="K158" s="35">
        <f t="shared" ref="K158" ca="1" si="86">SUM(K153,K156:K157)</f>
        <v>-14269805.992323825</v>
      </c>
    </row>
    <row r="159" spans="2:12" outlineLevel="1">
      <c r="G159" s="87"/>
    </row>
    <row r="160" spans="2:12" outlineLevel="1">
      <c r="B160" s="6" t="s">
        <v>109</v>
      </c>
      <c r="D160" s="5">
        <f>SUM(D158,D150,D137)</f>
        <v>6502219</v>
      </c>
      <c r="E160" s="5">
        <f t="shared" ref="E160:K160" si="87">SUM(E158,E150,E137)</f>
        <v>7443268</v>
      </c>
      <c r="F160" s="5">
        <f t="shared" si="87"/>
        <v>245017</v>
      </c>
      <c r="G160" s="76">
        <f t="shared" ca="1" si="87"/>
        <v>-5987202.5254914686</v>
      </c>
      <c r="H160" s="5">
        <f t="shared" ca="1" si="87"/>
        <v>9253375.373286387</v>
      </c>
      <c r="I160" s="5">
        <f t="shared" ca="1" si="87"/>
        <v>-3952187.5590966716</v>
      </c>
      <c r="J160" s="5">
        <f t="shared" ca="1" si="87"/>
        <v>1383198.07304243</v>
      </c>
      <c r="K160" s="5">
        <f t="shared" ca="1" si="87"/>
        <v>9399393.9509810433</v>
      </c>
    </row>
    <row r="161" spans="1:12" outlineLevel="1">
      <c r="D161" s="5"/>
      <c r="E161" s="5"/>
      <c r="F161" s="5"/>
      <c r="G161" s="76"/>
      <c r="H161" s="5"/>
      <c r="I161" s="5"/>
      <c r="J161" s="5"/>
      <c r="K161" s="5"/>
    </row>
    <row r="162" spans="1:12" outlineLevel="1">
      <c r="B162" s="21" t="s">
        <v>77</v>
      </c>
      <c r="D162" s="5">
        <f t="shared" ref="D162:K162" si="88">D114*-1</f>
        <v>28234</v>
      </c>
      <c r="E162" s="5">
        <f t="shared" si="88"/>
        <v>-1287392</v>
      </c>
      <c r="F162" s="5">
        <f t="shared" si="88"/>
        <v>253513</v>
      </c>
      <c r="G162" s="76">
        <f t="shared" si="88"/>
        <v>28234</v>
      </c>
      <c r="H162" s="5">
        <f t="shared" si="88"/>
        <v>-1287392</v>
      </c>
      <c r="I162" s="5">
        <f t="shared" si="88"/>
        <v>253513</v>
      </c>
      <c r="J162" s="5">
        <f t="shared" si="88"/>
        <v>28234</v>
      </c>
      <c r="K162" s="5">
        <f t="shared" si="88"/>
        <v>-1287392</v>
      </c>
    </row>
    <row r="163" spans="1:12" outlineLevel="1">
      <c r="B163" t="s">
        <v>110</v>
      </c>
      <c r="D163" s="36">
        <v>-125529</v>
      </c>
      <c r="E163" s="36">
        <v>88284</v>
      </c>
      <c r="F163" s="36">
        <v>46756</v>
      </c>
      <c r="G163" s="93">
        <f>D163</f>
        <v>-125529</v>
      </c>
      <c r="H163" s="43">
        <f>E163</f>
        <v>88284</v>
      </c>
      <c r="I163" s="43">
        <f>F163</f>
        <v>46756</v>
      </c>
      <c r="J163" s="43">
        <f>G163</f>
        <v>-125529</v>
      </c>
      <c r="K163" s="43">
        <f t="shared" ref="K163" si="89">H163</f>
        <v>88284</v>
      </c>
      <c r="L163" s="36"/>
    </row>
    <row r="164" spans="1:12" outlineLevel="1">
      <c r="D164" s="5"/>
      <c r="E164" s="5"/>
      <c r="F164" s="5"/>
      <c r="G164" s="76"/>
      <c r="H164" s="5"/>
      <c r="I164" s="5"/>
      <c r="J164" s="5"/>
      <c r="K164" s="5"/>
    </row>
    <row r="165" spans="1:12" outlineLevel="1">
      <c r="B165" t="s">
        <v>111</v>
      </c>
      <c r="D165" s="36">
        <v>14288556</v>
      </c>
      <c r="E165" s="5">
        <f>D166</f>
        <v>20693480</v>
      </c>
      <c r="F165" s="5">
        <f t="shared" ref="F165:K165" si="90">E166</f>
        <v>26937640</v>
      </c>
      <c r="G165" s="76">
        <f t="shared" si="90"/>
        <v>27482926</v>
      </c>
      <c r="H165" s="5">
        <f ca="1">G166</f>
        <v>21398428.474508531</v>
      </c>
      <c r="I165" s="5">
        <f t="shared" ca="1" si="90"/>
        <v>29452695.84779492</v>
      </c>
      <c r="J165" s="5">
        <f t="shared" ca="1" si="90"/>
        <v>25800777.288698249</v>
      </c>
      <c r="K165" s="5">
        <f t="shared" ca="1" si="90"/>
        <v>27086680.361740679</v>
      </c>
    </row>
    <row r="166" spans="1:12" ht="16" outlineLevel="1" thickBot="1">
      <c r="B166" s="6" t="s">
        <v>112</v>
      </c>
      <c r="D166" s="35">
        <f>SUM(D160,D163,D165,D162)</f>
        <v>20693480</v>
      </c>
      <c r="E166" s="35">
        <f t="shared" ref="E166" si="91">SUM(E160,E163,E165,E162)</f>
        <v>26937640</v>
      </c>
      <c r="F166" s="35">
        <f>SUM(F160,F163,F165,F162)</f>
        <v>27482926</v>
      </c>
      <c r="G166" s="97">
        <f t="shared" ref="G166:K166" ca="1" si="92">SUM(G160,G163,G165,G162)</f>
        <v>21398428.474508531</v>
      </c>
      <c r="H166" s="35">
        <f t="shared" ca="1" si="92"/>
        <v>29452695.84779492</v>
      </c>
      <c r="I166" s="35">
        <f t="shared" ca="1" si="92"/>
        <v>25800777.288698249</v>
      </c>
      <c r="J166" s="35">
        <f t="shared" ca="1" si="92"/>
        <v>27086680.361740679</v>
      </c>
      <c r="K166" s="35">
        <f t="shared" ca="1" si="92"/>
        <v>35286966.312721722</v>
      </c>
    </row>
    <row r="167" spans="1:12">
      <c r="B167" s="62" t="s">
        <v>113</v>
      </c>
      <c r="D167" s="60" t="b">
        <f t="shared" ref="D167:G167" si="93">D166=D70</f>
        <v>1</v>
      </c>
      <c r="E167" s="60" t="b">
        <f t="shared" si="93"/>
        <v>1</v>
      </c>
      <c r="F167" s="60" t="b">
        <f t="shared" si="93"/>
        <v>1</v>
      </c>
      <c r="G167" s="98" t="b">
        <f t="shared" ca="1" si="93"/>
        <v>1</v>
      </c>
      <c r="H167" s="60" t="b">
        <f ca="1">H166=I70</f>
        <v>1</v>
      </c>
      <c r="I167" s="60" t="b">
        <f ca="1">I166=J70</f>
        <v>1</v>
      </c>
      <c r="J167" s="60" t="b">
        <f ca="1">J166=K70</f>
        <v>1</v>
      </c>
      <c r="K167" s="60" t="b">
        <f ca="1">K166=L70</f>
        <v>1</v>
      </c>
    </row>
    <row r="171" spans="1:12" ht="23" thickBot="1">
      <c r="A171" s="72" t="s">
        <v>0</v>
      </c>
      <c r="B171" s="71" t="s">
        <v>114</v>
      </c>
      <c r="C171" s="70"/>
      <c r="D171" s="70"/>
      <c r="E171" s="70"/>
      <c r="F171" s="70"/>
      <c r="G171" s="70"/>
      <c r="H171" s="70"/>
      <c r="I171" s="70"/>
      <c r="J171" s="70"/>
      <c r="K171" s="70"/>
      <c r="L171" s="70"/>
    </row>
    <row r="172" spans="1:12">
      <c r="B172" t="s">
        <v>115</v>
      </c>
      <c r="C172" s="69">
        <v>4.0800000000000003E-2</v>
      </c>
      <c r="D172" s="72" t="s">
        <v>116</v>
      </c>
      <c r="E172" s="5"/>
    </row>
    <row r="173" spans="1:12">
      <c r="B173" s="73" t="s">
        <v>117</v>
      </c>
      <c r="C173" s="116" t="s">
        <v>116</v>
      </c>
      <c r="D173" s="72" t="s">
        <v>118</v>
      </c>
      <c r="E173" s="5"/>
    </row>
    <row r="174" spans="1:12" ht="16" thickBot="1">
      <c r="C174" s="99"/>
      <c r="E174" s="5"/>
    </row>
    <row r="175" spans="1:12">
      <c r="C175" s="99"/>
      <c r="D175" s="39">
        <v>2021</v>
      </c>
      <c r="E175" s="2">
        <f>1+D175</f>
        <v>2022</v>
      </c>
      <c r="F175" s="2">
        <f>1+E175</f>
        <v>2023</v>
      </c>
      <c r="G175" s="75">
        <f>1+F175</f>
        <v>2024</v>
      </c>
      <c r="H175" s="173">
        <v>2024</v>
      </c>
      <c r="I175" s="3">
        <f>1+G175</f>
        <v>2025</v>
      </c>
      <c r="J175" s="3">
        <f t="shared" ref="J175" si="94">1+I175</f>
        <v>2026</v>
      </c>
      <c r="K175" s="3">
        <f t="shared" ref="K175" si="95">1+J175</f>
        <v>2027</v>
      </c>
      <c r="L175" s="3">
        <f t="shared" ref="L175" si="96">1+K175</f>
        <v>2028</v>
      </c>
    </row>
    <row r="176" spans="1:12">
      <c r="B176" t="s">
        <v>44</v>
      </c>
      <c r="D176" s="5">
        <v>0</v>
      </c>
      <c r="E176" s="5">
        <v>0</v>
      </c>
      <c r="F176" s="5">
        <v>0</v>
      </c>
      <c r="G176" s="5">
        <v>7000000</v>
      </c>
      <c r="H176" s="5">
        <v>7199000</v>
      </c>
      <c r="I176" s="5">
        <v>7000000</v>
      </c>
      <c r="J176" s="5">
        <v>7000000</v>
      </c>
      <c r="K176" s="5">
        <v>7000000</v>
      </c>
      <c r="L176" s="5">
        <v>7000000</v>
      </c>
    </row>
    <row r="177" spans="1:12">
      <c r="B177" t="str">
        <f>B68</f>
        <v>Investment in money market fund</v>
      </c>
      <c r="D177" s="5">
        <f t="shared" ref="D177:F178" si="97">D68</f>
        <v>12626361</v>
      </c>
      <c r="E177" s="5">
        <f t="shared" si="97"/>
        <v>21955264</v>
      </c>
      <c r="F177" s="5">
        <f t="shared" si="97"/>
        <v>23461830</v>
      </c>
      <c r="G177" s="5">
        <f ca="1">G179-G178-G176</f>
        <v>9562383.6392696034</v>
      </c>
      <c r="H177" s="5">
        <v>15939000</v>
      </c>
      <c r="I177" s="5">
        <f t="shared" ref="I177:L177" ca="1" si="98">I179-I178-I176</f>
        <v>17187215.326301005</v>
      </c>
      <c r="J177" s="5">
        <f t="shared" ca="1" si="98"/>
        <v>15151975.544944063</v>
      </c>
      <c r="K177" s="5">
        <f t="shared" ca="1" si="98"/>
        <v>17056435.116091136</v>
      </c>
      <c r="L177" s="5">
        <f t="shared" ca="1" si="98"/>
        <v>24758269.681449547</v>
      </c>
    </row>
    <row r="178" spans="1:12">
      <c r="B178" t="str">
        <f>B69</f>
        <v>Cash and bank balances</v>
      </c>
      <c r="D178" s="5">
        <f t="shared" si="97"/>
        <v>8067119</v>
      </c>
      <c r="E178" s="5">
        <f t="shared" si="97"/>
        <v>4982376</v>
      </c>
      <c r="F178" s="5">
        <f t="shared" si="97"/>
        <v>4021096</v>
      </c>
      <c r="G178" s="5">
        <f ca="1">G179*G180</f>
        <v>4836044.835238928</v>
      </c>
      <c r="H178" s="5">
        <v>5766000</v>
      </c>
      <c r="I178" s="5">
        <f t="shared" ref="I178:L178" ca="1" si="99">I179*I180</f>
        <v>5265480.5214939145</v>
      </c>
      <c r="J178" s="5">
        <f t="shared" ca="1" si="99"/>
        <v>3648801.7437541853</v>
      </c>
      <c r="K178" s="5">
        <f t="shared" ca="1" si="99"/>
        <v>3030245.2456495441</v>
      </c>
      <c r="L178" s="5">
        <f t="shared" ca="1" si="99"/>
        <v>3528696.6312721726</v>
      </c>
    </row>
    <row r="179" spans="1:12">
      <c r="B179" s="73" t="s">
        <v>119</v>
      </c>
      <c r="D179" s="57">
        <f>SUM(D177:D178)</f>
        <v>20693480</v>
      </c>
      <c r="E179" s="57">
        <f t="shared" ref="E179:F179" si="100">SUM(E177:E178)</f>
        <v>26937640</v>
      </c>
      <c r="F179" s="57">
        <f t="shared" si="100"/>
        <v>27482926</v>
      </c>
      <c r="G179" s="57">
        <f ca="1">G70</f>
        <v>21398428.474508531</v>
      </c>
      <c r="H179" s="57">
        <f>SUM(H176:H178)</f>
        <v>28904000</v>
      </c>
      <c r="I179" s="57">
        <f ca="1">I70</f>
        <v>29452695.84779492</v>
      </c>
      <c r="J179" s="57">
        <f ca="1">J70</f>
        <v>25800777.288698249</v>
      </c>
      <c r="K179" s="57">
        <f ca="1">K70</f>
        <v>27086680.361740679</v>
      </c>
      <c r="L179" s="57">
        <f ca="1">L70</f>
        <v>35286966.312721722</v>
      </c>
    </row>
    <row r="180" spans="1:12">
      <c r="B180" s="62" t="s">
        <v>120</v>
      </c>
      <c r="D180" s="59">
        <f>D178/D179</f>
        <v>0.38983868348871237</v>
      </c>
      <c r="E180" s="59">
        <f t="shared" ref="E180:H180" si="101">E178/E179</f>
        <v>0.18495963269239621</v>
      </c>
      <c r="F180" s="59">
        <f t="shared" si="101"/>
        <v>0.14631251417698393</v>
      </c>
      <c r="G180" s="110">
        <v>0.22600000000000001</v>
      </c>
      <c r="H180" s="59">
        <f t="shared" si="101"/>
        <v>0.19948796014392473</v>
      </c>
      <c r="I180" s="111">
        <f>MAX(10%,G180*(1+I181))</f>
        <v>0.17877754038899407</v>
      </c>
      <c r="J180" s="59">
        <f t="shared" ref="J180:L180" si="102">MAX(10%,I180*(1+J181))</f>
        <v>0.1414221634846832</v>
      </c>
      <c r="K180" s="59">
        <f t="shared" si="102"/>
        <v>0.11187215285080473</v>
      </c>
      <c r="L180" s="59">
        <f t="shared" si="102"/>
        <v>0.1</v>
      </c>
    </row>
    <row r="181" spans="1:12">
      <c r="A181" s="87"/>
      <c r="B181" s="62" t="s">
        <v>121</v>
      </c>
      <c r="E181" s="59">
        <f>E180/D180-1</f>
        <v>-0.52554828310733392</v>
      </c>
      <c r="F181" s="59">
        <f>F180/E180-1</f>
        <v>-0.20894893633188472</v>
      </c>
      <c r="G181" s="59">
        <f>F181</f>
        <v>-0.20894893633188472</v>
      </c>
      <c r="I181" s="59">
        <f>G181</f>
        <v>-0.20894893633188472</v>
      </c>
      <c r="J181" s="59">
        <f>I181</f>
        <v>-0.20894893633188472</v>
      </c>
      <c r="K181" s="59">
        <f>J181</f>
        <v>-0.20894893633188472</v>
      </c>
      <c r="L181" s="59">
        <f>K181</f>
        <v>-0.20894893633188472</v>
      </c>
    </row>
    <row r="182" spans="1:12">
      <c r="H182" s="141"/>
    </row>
    <row r="183" spans="1:12">
      <c r="H183" s="141"/>
    </row>
    <row r="184" spans="1:12">
      <c r="H184" s="141"/>
    </row>
    <row r="185" spans="1:12" ht="23" thickBot="1">
      <c r="A185" s="72" t="s">
        <v>0</v>
      </c>
      <c r="B185" s="71" t="s">
        <v>275</v>
      </c>
      <c r="C185" s="70"/>
      <c r="D185" s="70"/>
      <c r="E185" s="70"/>
      <c r="F185" s="70"/>
      <c r="G185" s="70"/>
      <c r="H185" s="70"/>
      <c r="I185" s="70"/>
      <c r="J185" s="70"/>
      <c r="K185" s="70"/>
      <c r="L185" s="70"/>
    </row>
    <row r="186" spans="1:12">
      <c r="B186" s="73" t="s">
        <v>264</v>
      </c>
      <c r="D186" s="142" t="s">
        <v>256</v>
      </c>
      <c r="E186" s="142" t="s">
        <v>257</v>
      </c>
      <c r="F186" s="142" t="s">
        <v>258</v>
      </c>
      <c r="G186" s="142" t="s">
        <v>259</v>
      </c>
      <c r="H186" s="143" t="s">
        <v>260</v>
      </c>
      <c r="I186" s="143" t="s">
        <v>261</v>
      </c>
      <c r="J186" s="143" t="s">
        <v>262</v>
      </c>
      <c r="K186" s="143" t="s">
        <v>263</v>
      </c>
    </row>
    <row r="187" spans="1:12">
      <c r="B187" t="s">
        <v>158</v>
      </c>
      <c r="D187" s="141">
        <f t="shared" ref="D187:G187" si="103">D24/D18</f>
        <v>0.72643140319641442</v>
      </c>
      <c r="E187" s="141">
        <f t="shared" si="103"/>
        <v>0.73043698180553385</v>
      </c>
      <c r="F187" s="141">
        <f t="shared" si="103"/>
        <v>0.73678298377579587</v>
      </c>
      <c r="G187" s="141">
        <f t="shared" si="103"/>
        <v>0.70450000000000002</v>
      </c>
      <c r="H187" s="141">
        <f>I24/I18</f>
        <v>0.70450000000000002</v>
      </c>
      <c r="I187" s="141">
        <f>J24/J18</f>
        <v>0.70450000000000002</v>
      </c>
      <c r="J187" s="141">
        <f>K24/K18</f>
        <v>0.70450000000000002</v>
      </c>
      <c r="K187" s="141">
        <f>L24/L18</f>
        <v>0.70450000000000002</v>
      </c>
    </row>
    <row r="188" spans="1:12">
      <c r="B188" t="s">
        <v>254</v>
      </c>
      <c r="D188" s="141">
        <f t="shared" ref="D188:G188" si="104">D34/D18</f>
        <v>0.50693010017994677</v>
      </c>
      <c r="E188" s="141">
        <f t="shared" si="104"/>
        <v>0.47280641838135906</v>
      </c>
      <c r="F188" s="141">
        <f t="shared" si="104"/>
        <v>0.53110927505822625</v>
      </c>
      <c r="G188" s="141">
        <f t="shared" si="104"/>
        <v>0.51223275960692516</v>
      </c>
      <c r="H188" s="141">
        <f>I34/I18</f>
        <v>0.5125818514985474</v>
      </c>
      <c r="I188" s="141">
        <f>J34/J18</f>
        <v>0.51294148249471239</v>
      </c>
      <c r="J188" s="141">
        <f>K34/K18</f>
        <v>0.51162958885139809</v>
      </c>
      <c r="K188" s="141">
        <f>L34/L18</f>
        <v>0.51028381076351936</v>
      </c>
    </row>
    <row r="189" spans="1:12">
      <c r="B189" t="s">
        <v>255</v>
      </c>
      <c r="D189" s="141">
        <f t="shared" ref="D189:G189" si="105">D39/D18</f>
        <v>0.39228364162059631</v>
      </c>
      <c r="E189" s="141">
        <f t="shared" si="105"/>
        <v>0.34738434274659602</v>
      </c>
      <c r="F189" s="141">
        <f t="shared" si="105"/>
        <v>0.40330800195843469</v>
      </c>
      <c r="G189" s="141">
        <f t="shared" si="105"/>
        <v>0.3890542946574983</v>
      </c>
      <c r="H189" s="141">
        <f ca="1">I39/I18</f>
        <v>0.38948497671607574</v>
      </c>
      <c r="I189" s="141">
        <f ca="1">J39/J18</f>
        <v>0.38975824208775872</v>
      </c>
      <c r="J189" s="141">
        <f ca="1">K39/K18</f>
        <v>0.38876140058112635</v>
      </c>
      <c r="K189" s="141">
        <f ca="1">L39/L18</f>
        <v>0.38773881200197541</v>
      </c>
    </row>
    <row r="191" spans="1:12">
      <c r="B191" s="73" t="s">
        <v>253</v>
      </c>
      <c r="D191" s="142"/>
      <c r="E191" s="142"/>
      <c r="F191" s="142"/>
      <c r="G191" s="142"/>
      <c r="H191" s="143"/>
      <c r="I191" s="143"/>
      <c r="J191" s="143"/>
      <c r="K191" s="143"/>
    </row>
    <row r="192" spans="1:12">
      <c r="B192" t="s">
        <v>265</v>
      </c>
      <c r="D192" s="141">
        <f>D39/D79</f>
        <v>0.22161651904401525</v>
      </c>
      <c r="E192" s="141">
        <f>E39/E79</f>
        <v>0.20389548377330502</v>
      </c>
      <c r="F192" s="141">
        <f>F39/F79</f>
        <v>0.22202466348643221</v>
      </c>
      <c r="G192" s="141">
        <f>G39/G79</f>
        <v>0.23546954947024407</v>
      </c>
      <c r="H192" s="141">
        <f ca="1">I39/I79</f>
        <v>0.25052295547071546</v>
      </c>
      <c r="I192" s="141">
        <f ca="1">J39/J79</f>
        <v>0.26943327426059011</v>
      </c>
      <c r="J192" s="141">
        <f ca="1">K39/K79</f>
        <v>0.27192945265847074</v>
      </c>
      <c r="K192" s="141">
        <f ca="1">L39/L79</f>
        <v>0.27811295394663776</v>
      </c>
    </row>
    <row r="193" spans="2:12">
      <c r="B193" t="s">
        <v>266</v>
      </c>
      <c r="D193" s="141">
        <f>D39/D73</f>
        <v>0.20134498939256013</v>
      </c>
      <c r="E193" s="141">
        <f>E39/E73</f>
        <v>0.1835182047635118</v>
      </c>
      <c r="F193" s="141">
        <f>F39/F73</f>
        <v>0.20071805880891069</v>
      </c>
      <c r="G193" s="141">
        <f ca="1">G39/G73</f>
        <v>0.21338653234040308</v>
      </c>
      <c r="H193" s="141">
        <f ca="1">I39/I73</f>
        <v>0.22578456758859622</v>
      </c>
      <c r="I193" s="141">
        <f ca="1">J39/J73</f>
        <v>0.24112918866998859</v>
      </c>
      <c r="J193" s="141">
        <f ca="1">K39/K73</f>
        <v>0.24311395732918328</v>
      </c>
      <c r="K193" s="141">
        <f ca="1">L39/L73</f>
        <v>0.24802231781999429</v>
      </c>
    </row>
    <row r="194" spans="2:12">
      <c r="B194" t="s">
        <v>267</v>
      </c>
      <c r="D194" s="141">
        <f>D39/SUM(D79,D83,D89)</f>
        <v>0.22161651904401525</v>
      </c>
      <c r="E194" s="141">
        <f>E39/SUM(E79,E83,E89)</f>
        <v>0.2023549578198012</v>
      </c>
      <c r="F194" s="141">
        <f>F39/SUM(F79,F83,F89)</f>
        <v>0.22125772972010829</v>
      </c>
      <c r="G194" s="141">
        <f ca="1">G39/SUM(G79,G83,G89)</f>
        <v>0.23546954947024407</v>
      </c>
      <c r="H194" s="141">
        <f ca="1">I39/SUM(I79,I83,I89)</f>
        <v>0.25052295547071546</v>
      </c>
      <c r="I194" s="141">
        <f ca="1">J39/SUM(J79,J83,J89)</f>
        <v>0.26943327426059011</v>
      </c>
      <c r="J194" s="141">
        <f ca="1">K39/SUM(K79,K83,K89)</f>
        <v>0.27192945265847074</v>
      </c>
      <c r="K194" s="141">
        <f ca="1">L39/SUM(L79,L83,L89)</f>
        <v>0.27811295394663776</v>
      </c>
    </row>
    <row r="196" spans="2:12">
      <c r="B196" s="201" t="s">
        <v>268</v>
      </c>
      <c r="C196" s="189"/>
      <c r="D196" s="202"/>
      <c r="E196" s="202"/>
      <c r="F196" s="202"/>
      <c r="G196" s="202"/>
      <c r="H196" s="203"/>
      <c r="I196" s="203"/>
      <c r="J196" s="203"/>
      <c r="K196" s="203"/>
    </row>
    <row r="197" spans="2:12">
      <c r="B197" t="s">
        <v>269</v>
      </c>
      <c r="D197" s="144">
        <f>SUM(D83,D89)/D79</f>
        <v>0</v>
      </c>
      <c r="E197" s="200">
        <f t="shared" ref="E197:G197" si="106">SUM(E83,E89)/E79</f>
        <v>7.6129884342920609E-3</v>
      </c>
      <c r="F197" s="144">
        <f t="shared" si="106"/>
        <v>3.4662462066030212E-3</v>
      </c>
      <c r="G197" s="144">
        <f t="shared" ca="1" si="106"/>
        <v>0</v>
      </c>
      <c r="H197" s="144">
        <f ca="1">SUM(I83,I89)/I79</f>
        <v>0</v>
      </c>
      <c r="I197" s="144">
        <f ca="1">SUM(J83,J89)/J79</f>
        <v>0</v>
      </c>
      <c r="J197" s="144">
        <f ca="1">SUM(K83,K89)/K79</f>
        <v>0</v>
      </c>
      <c r="K197" s="144">
        <f ca="1">SUM(L83,L89)/L79</f>
        <v>0</v>
      </c>
    </row>
    <row r="198" spans="2:12">
      <c r="B198" t="s">
        <v>270</v>
      </c>
      <c r="D198" s="145" t="str">
        <f>IFERROR(D34/D35*-1,"ZERO DEBT")</f>
        <v>ZERO DEBT</v>
      </c>
      <c r="E198" s="145">
        <f t="shared" ref="E198:G198" si="107">IFERROR(E34/E35*-1,"ZERO DEBT")</f>
        <v>780.80676876536211</v>
      </c>
      <c r="F198" s="145">
        <f t="shared" si="107"/>
        <v>1582.4440563257285</v>
      </c>
      <c r="G198" s="145">
        <f t="shared" si="107"/>
        <v>2352.8496097472562</v>
      </c>
      <c r="H198" s="145" t="str">
        <f ca="1">IFERROR(I34/I35*-1,"ZERO DEBT")</f>
        <v>ZERO DEBT</v>
      </c>
      <c r="I198" s="145" t="str">
        <f ca="1">IFERROR(J34/J35*-1,"ZERO DEBT")</f>
        <v>ZERO DEBT</v>
      </c>
      <c r="J198" s="145" t="str">
        <f ca="1">IFERROR(K34/K35*-1,"ZERO DEBT")</f>
        <v>ZERO DEBT</v>
      </c>
      <c r="K198" s="145" t="str">
        <f ca="1">IFERROR(L34/L35*-1,"ZERO DEBT")</f>
        <v>ZERO DEBT</v>
      </c>
    </row>
    <row r="200" spans="2:12">
      <c r="B200" s="73" t="s">
        <v>271</v>
      </c>
    </row>
    <row r="201" spans="2:12">
      <c r="B201" t="s">
        <v>273</v>
      </c>
      <c r="D201" s="141">
        <f t="shared" ref="D201:G201" si="108">D148/D18*-1</f>
        <v>8.1655315392150624E-2</v>
      </c>
      <c r="E201" s="141">
        <f t="shared" si="108"/>
        <v>4.4000853024217385E-2</v>
      </c>
      <c r="F201" s="141">
        <f t="shared" si="108"/>
        <v>1.8096176963714003E-2</v>
      </c>
      <c r="G201" s="141">
        <f t="shared" si="108"/>
        <v>0.32860976215451443</v>
      </c>
      <c r="H201" s="141">
        <f>H148/I18*-1</f>
        <v>0.1692520667587519</v>
      </c>
      <c r="I201" s="141">
        <f>I148/J18*-1</f>
        <v>0.16739659742379712</v>
      </c>
      <c r="J201" s="141">
        <f>J148/K18*-1</f>
        <v>0.17275979389449281</v>
      </c>
      <c r="K201" s="141">
        <f>K148/L18*-1</f>
        <v>0.17829482107636158</v>
      </c>
    </row>
    <row r="202" spans="2:12">
      <c r="B202" t="s">
        <v>272</v>
      </c>
      <c r="D202" s="144">
        <f>-D148/D108</f>
        <v>2.2300586859543508</v>
      </c>
      <c r="E202" s="144">
        <f t="shared" ref="E202:G202" si="109">-E148/E108</f>
        <v>0.93207376945146647</v>
      </c>
      <c r="F202" s="144">
        <f t="shared" si="109"/>
        <v>0.44221697585327358</v>
      </c>
      <c r="G202" s="144">
        <f t="shared" si="109"/>
        <v>8.2760478170493226</v>
      </c>
      <c r="H202" s="144">
        <f>-H148/H108</f>
        <v>4.3004278373737499</v>
      </c>
      <c r="I202" s="144">
        <f>-I148/I108</f>
        <v>4.2925067401479939</v>
      </c>
      <c r="J202" s="144">
        <f>-J148/J108</f>
        <v>4.2858552754611816</v>
      </c>
      <c r="K202" s="144">
        <f>-K148/K108</f>
        <v>4.2802669297351281</v>
      </c>
    </row>
    <row r="203" spans="2:12">
      <c r="B203" t="s">
        <v>292</v>
      </c>
      <c r="D203" s="141">
        <f>1-(-D153/D39)</f>
        <v>0.29552578054135725</v>
      </c>
      <c r="E203" s="141">
        <f t="shared" ref="E203:G203" si="110">1-(-E153/E39)</f>
        <v>0.23423241018276542</v>
      </c>
      <c r="F203" s="141">
        <f t="shared" si="110"/>
        <v>0.37060490171142035</v>
      </c>
      <c r="G203" s="141">
        <f t="shared" si="110"/>
        <v>0.30884093699093085</v>
      </c>
      <c r="H203" s="141">
        <f ca="1">1-(-H153/I39)</f>
        <v>0.4</v>
      </c>
      <c r="I203" s="141">
        <f ca="1">1-(-I153/J39)</f>
        <v>0.4</v>
      </c>
      <c r="J203" s="141">
        <f ca="1">1-(-J153/K39)</f>
        <v>0.4</v>
      </c>
      <c r="K203" s="141">
        <f ca="1">1-(-K153/L39)</f>
        <v>0.4</v>
      </c>
    </row>
    <row r="204" spans="2:12">
      <c r="D204" s="151"/>
      <c r="E204" s="151"/>
      <c r="F204" s="151"/>
      <c r="G204" s="151"/>
    </row>
    <row r="205" spans="2:12">
      <c r="B205" t="s">
        <v>274</v>
      </c>
      <c r="D205" s="144">
        <f>1/(D39/D137)</f>
        <v>1.4886888016918363</v>
      </c>
      <c r="E205" s="144">
        <f t="shared" ref="E205:G205" si="111">1/(E39/E137)</f>
        <v>0.80828963517660235</v>
      </c>
      <c r="F205" s="144">
        <f t="shared" si="111"/>
        <v>1.1095951273572908</v>
      </c>
      <c r="G205" s="144">
        <f t="shared" si="111"/>
        <v>1.0264968603371911</v>
      </c>
      <c r="H205" s="144">
        <f ca="1">1/(I39/H137)</f>
        <v>1.1415529959128128</v>
      </c>
      <c r="I205" s="144">
        <f ca="1">1/(J39/I137)</f>
        <v>1.0546184632260476</v>
      </c>
      <c r="J205" s="144">
        <f ca="1">1/(K39/J137)</f>
        <v>1.0839675543181813</v>
      </c>
      <c r="K205" s="144">
        <f ca="1">1/(L39/K137)</f>
        <v>1.1352267368382432</v>
      </c>
      <c r="L205" s="144"/>
    </row>
    <row r="207" spans="2:12">
      <c r="B207" s="73" t="s">
        <v>276</v>
      </c>
    </row>
    <row r="208" spans="2:12">
      <c r="B208" t="s">
        <v>277</v>
      </c>
      <c r="E208" s="141">
        <f t="shared" ref="E208:G208" si="112">E18/D18-1</f>
        <v>3.886252759979647E-2</v>
      </c>
      <c r="F208" s="141">
        <f t="shared" si="112"/>
        <v>4.1675224767988572E-2</v>
      </c>
      <c r="G208" s="141">
        <f t="shared" si="112"/>
        <v>0.17999999999999994</v>
      </c>
      <c r="H208" s="141">
        <f>I18/G18-1</f>
        <v>0.19999999999999996</v>
      </c>
      <c r="I208" s="141">
        <f>J18/I18-1</f>
        <v>0.19999999999999996</v>
      </c>
      <c r="J208" s="141">
        <f>K18/J18-1</f>
        <v>0.14999999999999991</v>
      </c>
      <c r="K208" s="141">
        <f>L18/K18-1</f>
        <v>0.14999999999999991</v>
      </c>
    </row>
    <row r="209" spans="2:11">
      <c r="B209" t="s">
        <v>278</v>
      </c>
      <c r="E209" s="141">
        <f>E39/D39-1</f>
        <v>-8.004174004441833E-2</v>
      </c>
      <c r="F209" s="141">
        <f t="shared" ref="F209:G209" si="113">F39/E39-1</f>
        <v>0.20936928322425818</v>
      </c>
      <c r="G209" s="141">
        <f t="shared" si="113"/>
        <v>0.13829645200831298</v>
      </c>
      <c r="H209" s="141">
        <f ca="1">I39/G39-1</f>
        <v>0.20132839677492265</v>
      </c>
      <c r="I209" s="141">
        <f ca="1">J39/I39-1</f>
        <v>0.20084192835570813</v>
      </c>
      <c r="J209" s="141">
        <f ca="1">K39/J39-1</f>
        <v>0.14705877231360964</v>
      </c>
      <c r="K209" s="141">
        <f ca="1">L39/K39-1</f>
        <v>0.14697506783269709</v>
      </c>
    </row>
    <row r="211" spans="2:11">
      <c r="D211">
        <v>2018</v>
      </c>
      <c r="E211">
        <f>1+D211</f>
        <v>2019</v>
      </c>
      <c r="F211">
        <f t="shared" ref="F211:J211" si="114">1+E211</f>
        <v>2020</v>
      </c>
      <c r="G211">
        <f t="shared" si="114"/>
        <v>2021</v>
      </c>
      <c r="H211">
        <f t="shared" si="114"/>
        <v>2022</v>
      </c>
      <c r="I211">
        <f t="shared" si="114"/>
        <v>2023</v>
      </c>
      <c r="J211">
        <f t="shared" si="114"/>
        <v>2024</v>
      </c>
    </row>
    <row r="212" spans="2:11">
      <c r="B212" t="s">
        <v>307</v>
      </c>
      <c r="D212" s="141">
        <v>0.04</v>
      </c>
      <c r="E212" s="141">
        <v>0.04</v>
      </c>
      <c r="F212" s="141">
        <v>0.04</v>
      </c>
      <c r="G212" s="141">
        <v>5.33E-2</v>
      </c>
      <c r="H212" s="141">
        <v>5.33E-2</v>
      </c>
      <c r="I212" s="141">
        <v>5.33E-2</v>
      </c>
      <c r="J212" s="141">
        <f>0.05/0.88</f>
        <v>5.6818181818181823E-2</v>
      </c>
      <c r="K212" s="105"/>
    </row>
    <row r="214" spans="2:11">
      <c r="D214" s="4"/>
      <c r="E214" s="4"/>
    </row>
    <row r="215" spans="2:11">
      <c r="E215" s="4"/>
    </row>
  </sheetData>
  <conditionalFormatting sqref="D99:L99">
    <cfRule type="cellIs" dxfId="1" priority="1" operator="equal">
      <formula>"N"</formula>
    </cfRule>
    <cfRule type="cellIs" dxfId="0" priority="2" operator="equal">
      <formula>"Y"</formula>
    </cfRule>
  </conditionalFormatting>
  <dataValidations count="2">
    <dataValidation type="list" allowBlank="1" showInputMessage="1" showErrorMessage="1" sqref="C173" xr:uid="{479B9EE3-D72F-EC4F-9F14-B885BFD1624B}">
      <formula1>$D$172:$D$173</formula1>
    </dataValidation>
    <dataValidation type="list" allowBlank="1" showInputMessage="1" showErrorMessage="1" sqref="E16" xr:uid="{9A2C4705-A894-AE43-AEDC-5CB641EC50BE}">
      <formula1>$M$4:$M$6</formula1>
    </dataValidation>
  </dataValidations>
  <pageMargins left="0.7" right="0.7" top="0.75" bottom="0.75" header="0.3" footer="0.3"/>
  <pageSetup paperSize="9" orientation="portrait" horizontalDpi="0" verticalDpi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36F45-98E2-437D-A55C-A0A1EFDBB6E8}">
  <sheetPr codeName="Sheet3"/>
  <dimension ref="A1:L50"/>
  <sheetViews>
    <sheetView showGridLines="0" topLeftCell="A9" zoomScale="150" workbookViewId="0">
      <selection activeCell="G41" sqref="G41"/>
    </sheetView>
  </sheetViews>
  <sheetFormatPr baseColWidth="10" defaultColWidth="8.83203125" defaultRowHeight="15"/>
  <cols>
    <col min="1" max="1" width="2.1640625" customWidth="1"/>
    <col min="2" max="2" width="36" customWidth="1"/>
    <col min="3" max="3" width="3.6640625" customWidth="1"/>
    <col min="4" max="11" width="16.83203125" customWidth="1"/>
  </cols>
  <sheetData>
    <row r="1" spans="1:12" ht="6.75" customHeight="1"/>
    <row r="2" spans="1:12" ht="22">
      <c r="A2" s="1" t="s">
        <v>0</v>
      </c>
      <c r="B2" s="8" t="s">
        <v>122</v>
      </c>
      <c r="C2" s="9"/>
      <c r="D2" s="9"/>
      <c r="E2" s="9"/>
      <c r="F2" s="9"/>
      <c r="G2" s="9"/>
      <c r="H2" s="9"/>
      <c r="I2" s="9"/>
      <c r="J2" s="9"/>
      <c r="K2" s="9"/>
      <c r="L2" s="50"/>
    </row>
    <row r="3" spans="1:12">
      <c r="B3" s="6" t="s">
        <v>2</v>
      </c>
      <c r="D3" s="39">
        <v>2021</v>
      </c>
      <c r="E3" s="2">
        <f>1+D3</f>
        <v>2022</v>
      </c>
      <c r="F3" s="2">
        <f>1+E3</f>
        <v>2023</v>
      </c>
      <c r="G3" s="3">
        <f>1+F3</f>
        <v>2024</v>
      </c>
      <c r="H3" s="3">
        <f t="shared" ref="H3:K3" si="0">1+G3</f>
        <v>2025</v>
      </c>
      <c r="I3" s="3">
        <f t="shared" si="0"/>
        <v>2026</v>
      </c>
      <c r="J3" s="3">
        <f t="shared" si="0"/>
        <v>2027</v>
      </c>
      <c r="K3" s="3">
        <f t="shared" si="0"/>
        <v>2028</v>
      </c>
    </row>
    <row r="4" spans="1:12">
      <c r="B4" t="s">
        <v>123</v>
      </c>
      <c r="D4" s="36">
        <v>20493442</v>
      </c>
      <c r="E4" s="5">
        <f>D8</f>
        <v>22571918</v>
      </c>
      <c r="F4" s="5">
        <f>E8</f>
        <v>23588199</v>
      </c>
      <c r="G4" s="5">
        <f t="shared" ref="G4:K4" si="1">F8</f>
        <v>23945525</v>
      </c>
      <c r="H4" s="5">
        <f t="shared" si="1"/>
        <v>34457688.424999997</v>
      </c>
      <c r="I4" s="5">
        <f t="shared" si="1"/>
        <v>40895924.578500375</v>
      </c>
      <c r="J4" s="5">
        <f t="shared" si="1"/>
        <v>48537110.978023805</v>
      </c>
      <c r="K4" s="5">
        <f t="shared" si="1"/>
        <v>57606012.490826689</v>
      </c>
    </row>
    <row r="5" spans="1:12">
      <c r="B5" t="s">
        <v>124</v>
      </c>
      <c r="D5" s="4">
        <f>Modelling!D148*-1</f>
        <v>2059593</v>
      </c>
      <c r="E5" s="5">
        <f>Modelling!E148*-1</f>
        <v>1152965</v>
      </c>
      <c r="F5" s="5">
        <f>Modelling!F148*-1</f>
        <v>493940</v>
      </c>
      <c r="G5" s="36">
        <v>10584000</v>
      </c>
      <c r="H5" s="5">
        <f t="shared" ref="H5:K5" si="2">H4*H10</f>
        <v>6541609.2187753785</v>
      </c>
      <c r="I5" s="5">
        <f t="shared" si="2"/>
        <v>7763874.1732589304</v>
      </c>
      <c r="J5" s="5">
        <f t="shared" si="2"/>
        <v>9214512.8457369581</v>
      </c>
      <c r="K5" s="5">
        <f t="shared" si="2"/>
        <v>10936195.653028095</v>
      </c>
    </row>
    <row r="6" spans="1:12">
      <c r="B6" t="s">
        <v>125</v>
      </c>
      <c r="D6" s="36">
        <v>-2265</v>
      </c>
      <c r="E6" s="36">
        <v>-145561</v>
      </c>
      <c r="F6" s="36">
        <v>-127299</v>
      </c>
      <c r="G6" s="5">
        <f>G4*G11*-1</f>
        <v>-71836.574999999997</v>
      </c>
      <c r="H6" s="5">
        <f t="shared" ref="H6:K6" si="3">H4*H11*-1</f>
        <v>-103373.06527499999</v>
      </c>
      <c r="I6" s="5">
        <f t="shared" si="3"/>
        <v>-122687.77373550113</v>
      </c>
      <c r="J6" s="5">
        <f t="shared" si="3"/>
        <v>-145611.33293407143</v>
      </c>
      <c r="K6" s="5">
        <f t="shared" si="3"/>
        <v>-172818.03747248006</v>
      </c>
    </row>
    <row r="7" spans="1:12">
      <c r="B7" t="s">
        <v>126</v>
      </c>
      <c r="D7" s="36">
        <v>21148</v>
      </c>
      <c r="E7" s="36">
        <v>8877</v>
      </c>
      <c r="F7" s="36">
        <v>-9315</v>
      </c>
      <c r="G7" s="36">
        <v>0</v>
      </c>
      <c r="H7" s="5">
        <v>0</v>
      </c>
      <c r="I7" s="5">
        <v>0</v>
      </c>
      <c r="J7" s="5">
        <v>0</v>
      </c>
      <c r="K7" s="5">
        <v>0</v>
      </c>
    </row>
    <row r="8" spans="1:12">
      <c r="B8" s="6" t="s">
        <v>127</v>
      </c>
      <c r="D8" s="32">
        <f>SUM(D4:D7)</f>
        <v>22571918</v>
      </c>
      <c r="E8" s="32">
        <f t="shared" ref="E8:F8" si="4">SUM(E4:E7)</f>
        <v>23588199</v>
      </c>
      <c r="F8" s="32">
        <f t="shared" si="4"/>
        <v>23945525</v>
      </c>
      <c r="G8" s="32">
        <f t="shared" ref="G8" si="5">SUM(G4:G7)</f>
        <v>34457688.424999997</v>
      </c>
      <c r="H8" s="32">
        <f t="shared" ref="H8" si="6">SUM(H4:H7)</f>
        <v>40895924.578500375</v>
      </c>
      <c r="I8" s="32">
        <f t="shared" ref="I8" si="7">SUM(I4:I7)</f>
        <v>48537110.978023805</v>
      </c>
      <c r="J8" s="32">
        <f t="shared" ref="J8" si="8">SUM(J4:J7)</f>
        <v>57606012.490826689</v>
      </c>
      <c r="K8" s="32">
        <f t="shared" ref="K8" si="9">SUM(K4:K7)</f>
        <v>68369390.106382295</v>
      </c>
    </row>
    <row r="10" spans="1:12">
      <c r="B10" s="15" t="s">
        <v>128</v>
      </c>
      <c r="E10" s="47">
        <f>E5/E4</f>
        <v>5.1079620260892321E-2</v>
      </c>
      <c r="F10" s="47">
        <f>F5/F4</f>
        <v>2.0940131970227992E-2</v>
      </c>
      <c r="G10" s="47">
        <f>G5/Modelling!G18</f>
        <v>0.32860976215451443</v>
      </c>
      <c r="H10" s="47">
        <f>AVERAGE(E10,G10)</f>
        <v>0.18984469120770336</v>
      </c>
      <c r="I10" s="47">
        <f>H10</f>
        <v>0.18984469120770336</v>
      </c>
      <c r="J10" s="47">
        <f>I10</f>
        <v>0.18984469120770336</v>
      </c>
      <c r="K10" s="47">
        <f t="shared" ref="K10" si="10">J10</f>
        <v>0.18984469120770336</v>
      </c>
    </row>
    <row r="11" spans="1:12">
      <c r="B11" s="15" t="s">
        <v>129</v>
      </c>
      <c r="E11" s="47">
        <f>E6*-1/E4</f>
        <v>6.4487652312045438E-3</v>
      </c>
      <c r="F11" s="47">
        <f>F6*-1/F4</f>
        <v>5.3967240144107654E-3</v>
      </c>
      <c r="G11" s="46">
        <v>3.0000000000000001E-3</v>
      </c>
      <c r="H11" s="47">
        <v>3.0000000000000001E-3</v>
      </c>
      <c r="I11" s="47">
        <v>3.0000000000000001E-3</v>
      </c>
      <c r="J11" s="47">
        <v>3.0000000000000001E-3</v>
      </c>
      <c r="K11" s="47">
        <v>3.0000000000000001E-3</v>
      </c>
    </row>
    <row r="13" spans="1:12">
      <c r="B13" s="6" t="s">
        <v>130</v>
      </c>
    </row>
    <row r="14" spans="1:12">
      <c r="B14" s="10" t="s">
        <v>131</v>
      </c>
      <c r="F14" s="36"/>
      <c r="G14" s="36">
        <v>27</v>
      </c>
    </row>
    <row r="15" spans="1:12">
      <c r="B15" s="10" t="s">
        <v>124</v>
      </c>
      <c r="F15" s="36"/>
      <c r="G15" s="36">
        <v>27</v>
      </c>
      <c r="H15" s="43">
        <f>G15</f>
        <v>27</v>
      </c>
      <c r="I15" s="43">
        <f t="shared" ref="I15:K15" si="11">H15</f>
        <v>27</v>
      </c>
      <c r="J15" s="43">
        <f t="shared" si="11"/>
        <v>27</v>
      </c>
      <c r="K15" s="43">
        <f t="shared" si="11"/>
        <v>27</v>
      </c>
    </row>
    <row r="16" spans="1:12">
      <c r="B16" s="10"/>
      <c r="F16" s="36"/>
      <c r="G16" s="36"/>
      <c r="H16" s="36"/>
      <c r="I16" s="36"/>
      <c r="J16" s="36"/>
      <c r="K16" s="36"/>
    </row>
    <row r="17" spans="2:11">
      <c r="B17" s="6" t="s">
        <v>132</v>
      </c>
    </row>
    <row r="18" spans="2:11">
      <c r="B18" s="10" t="s">
        <v>133</v>
      </c>
      <c r="G18" s="36">
        <v>18964421</v>
      </c>
      <c r="H18" s="5">
        <f>G30</f>
        <v>20171455.721296296</v>
      </c>
      <c r="I18" s="5">
        <f t="shared" ref="I18:K18" si="12">H30</f>
        <v>21589235.775235198</v>
      </c>
      <c r="J18" s="5">
        <f t="shared" si="12"/>
        <v>23275252.016019486</v>
      </c>
      <c r="K18" s="5">
        <f t="shared" si="12"/>
        <v>25279622.951151017</v>
      </c>
    </row>
    <row r="19" spans="2:11">
      <c r="B19" s="30" t="s">
        <v>134</v>
      </c>
    </row>
    <row r="20" spans="2:11">
      <c r="B20" s="28" t="s">
        <v>131</v>
      </c>
      <c r="G20" s="5">
        <f>G4/G14</f>
        <v>886871.29629629629</v>
      </c>
      <c r="H20" s="5">
        <f>G20</f>
        <v>886871.29629629629</v>
      </c>
      <c r="I20" s="5">
        <f t="shared" ref="I20:K20" si="13">H20</f>
        <v>886871.29629629629</v>
      </c>
      <c r="J20" s="5">
        <f t="shared" si="13"/>
        <v>886871.29629629629</v>
      </c>
      <c r="K20" s="5">
        <f t="shared" si="13"/>
        <v>886871.29629629629</v>
      </c>
    </row>
    <row r="21" spans="2:11">
      <c r="B21" s="28" t="s">
        <v>135</v>
      </c>
      <c r="G21" s="5">
        <f>$G$5/G15</f>
        <v>392000</v>
      </c>
      <c r="H21" s="5">
        <f>$G$5/H15</f>
        <v>392000</v>
      </c>
      <c r="I21" s="5">
        <f>$G$5/I15</f>
        <v>392000</v>
      </c>
      <c r="J21" s="5">
        <f t="shared" ref="J21:K21" si="14">$G$5/J15</f>
        <v>392000</v>
      </c>
      <c r="K21" s="5">
        <f t="shared" si="14"/>
        <v>392000</v>
      </c>
    </row>
    <row r="22" spans="2:11">
      <c r="B22" s="28" t="s">
        <v>136</v>
      </c>
      <c r="G22" s="5"/>
      <c r="H22" s="5">
        <f>$H$5/H15</f>
        <v>242281.82291760662</v>
      </c>
      <c r="I22" s="5">
        <f t="shared" ref="I22:K22" si="15">$H$5/I15</f>
        <v>242281.82291760662</v>
      </c>
      <c r="J22" s="5">
        <f t="shared" si="15"/>
        <v>242281.82291760662</v>
      </c>
      <c r="K22" s="5">
        <f t="shared" si="15"/>
        <v>242281.82291760662</v>
      </c>
    </row>
    <row r="23" spans="2:11">
      <c r="B23" s="28" t="s">
        <v>137</v>
      </c>
      <c r="G23" s="5"/>
      <c r="H23" s="5"/>
      <c r="I23" s="5">
        <f>$I$5/I15</f>
        <v>287550.89530588634</v>
      </c>
      <c r="J23" s="5">
        <f t="shared" ref="J23:K23" si="16">$I$5/J15</f>
        <v>287550.89530588634</v>
      </c>
      <c r="K23" s="5">
        <f t="shared" si="16"/>
        <v>287550.89530588634</v>
      </c>
    </row>
    <row r="24" spans="2:11">
      <c r="B24" s="28" t="s">
        <v>138</v>
      </c>
      <c r="G24" s="5"/>
      <c r="H24" s="5"/>
      <c r="I24" s="5"/>
      <c r="J24" s="5">
        <f>$J$5/J15</f>
        <v>341278.25354581326</v>
      </c>
      <c r="K24" s="5">
        <f>$J$5/K15</f>
        <v>341278.25354581326</v>
      </c>
    </row>
    <row r="25" spans="2:11">
      <c r="B25" s="28" t="s">
        <v>139</v>
      </c>
      <c r="G25" s="5" t="s">
        <v>140</v>
      </c>
      <c r="H25" s="5"/>
      <c r="I25" s="5"/>
      <c r="J25" s="5"/>
      <c r="K25" s="5">
        <f>$K$5/K15</f>
        <v>405044.28344548499</v>
      </c>
    </row>
    <row r="26" spans="2:11">
      <c r="B26" s="30" t="s">
        <v>141</v>
      </c>
      <c r="D26" s="35">
        <f>Modelling!D31*-1</f>
        <v>923560</v>
      </c>
      <c r="E26" s="35">
        <f>Modelling!E31*-1</f>
        <v>1236989</v>
      </c>
      <c r="F26" s="35">
        <f>Modelling!F31*-1</f>
        <v>1116963</v>
      </c>
      <c r="G26" s="35">
        <f>SUM(G20:G25)</f>
        <v>1278871.2962962962</v>
      </c>
      <c r="H26" s="35">
        <f t="shared" ref="H26:K26" si="17">SUM(H20:H25)</f>
        <v>1521153.1192139029</v>
      </c>
      <c r="I26" s="35">
        <f t="shared" si="17"/>
        <v>1808704.0145197893</v>
      </c>
      <c r="J26" s="35">
        <f t="shared" si="17"/>
        <v>2149982.2680656025</v>
      </c>
      <c r="K26" s="35">
        <f t="shared" si="17"/>
        <v>2555026.5515110875</v>
      </c>
    </row>
    <row r="27" spans="2:11">
      <c r="B27" s="52" t="s">
        <v>142</v>
      </c>
      <c r="E27" s="47">
        <f>E26/D26-1</f>
        <v>0.33937047944908838</v>
      </c>
      <c r="F27" s="47">
        <f t="shared" ref="F27:K27" si="18">F26/E26-1</f>
        <v>-9.7030773919574043E-2</v>
      </c>
      <c r="G27" s="47">
        <f t="shared" si="18"/>
        <v>0.14495403723874123</v>
      </c>
      <c r="H27" s="47">
        <f t="shared" si="18"/>
        <v>0.18944973088321904</v>
      </c>
      <c r="I27" s="47">
        <f t="shared" si="18"/>
        <v>0.18903481291514312</v>
      </c>
      <c r="J27" s="47">
        <f t="shared" si="18"/>
        <v>0.1886866235747382</v>
      </c>
      <c r="K27" s="47">
        <f t="shared" si="18"/>
        <v>0.18839424373946789</v>
      </c>
    </row>
    <row r="28" spans="2:11">
      <c r="B28" s="10" t="s">
        <v>125</v>
      </c>
      <c r="G28" s="5">
        <f>G6</f>
        <v>-71836.574999999997</v>
      </c>
      <c r="H28" s="5">
        <f t="shared" ref="H28:K28" si="19">H6</f>
        <v>-103373.06527499999</v>
      </c>
      <c r="I28" s="5">
        <f t="shared" si="19"/>
        <v>-122687.77373550113</v>
      </c>
      <c r="J28" s="5">
        <f t="shared" si="19"/>
        <v>-145611.33293407143</v>
      </c>
      <c r="K28" s="5">
        <f t="shared" si="19"/>
        <v>-172818.03747248006</v>
      </c>
    </row>
    <row r="29" spans="2:11">
      <c r="B29" s="10" t="s">
        <v>126</v>
      </c>
      <c r="D29" s="5"/>
      <c r="E29" s="5"/>
      <c r="F29" s="5"/>
      <c r="G29" s="36">
        <v>0</v>
      </c>
      <c r="H29" s="5">
        <v>0</v>
      </c>
      <c r="I29" s="5">
        <v>0</v>
      </c>
      <c r="J29" s="5">
        <v>0</v>
      </c>
      <c r="K29" s="5">
        <v>0</v>
      </c>
    </row>
    <row r="30" spans="2:11">
      <c r="B30" s="22" t="s">
        <v>143</v>
      </c>
      <c r="C30" s="6"/>
      <c r="D30" s="53"/>
      <c r="E30" s="53"/>
      <c r="F30" s="53"/>
      <c r="G30" s="33">
        <f>G18+G28+G29+G26</f>
        <v>20171455.721296296</v>
      </c>
      <c r="H30" s="33">
        <f t="shared" ref="H30:K30" si="20">H18+H28+H29+H26</f>
        <v>21589235.775235198</v>
      </c>
      <c r="I30" s="33">
        <f t="shared" si="20"/>
        <v>23275252.016019486</v>
      </c>
      <c r="J30" s="33">
        <f t="shared" si="20"/>
        <v>25279622.951151017</v>
      </c>
      <c r="K30" s="33">
        <f t="shared" si="20"/>
        <v>27661831.465189625</v>
      </c>
    </row>
    <row r="32" spans="2:11">
      <c r="B32" s="6" t="s">
        <v>144</v>
      </c>
      <c r="D32" s="54"/>
      <c r="E32" s="54"/>
      <c r="F32" s="54"/>
      <c r="G32" s="51">
        <f>G8-G30</f>
        <v>14286232.703703701</v>
      </c>
      <c r="H32" s="51">
        <f t="shared" ref="H32:K32" si="21">H8-H30</f>
        <v>19306688.803265177</v>
      </c>
      <c r="I32" s="51">
        <f t="shared" si="21"/>
        <v>25261858.962004319</v>
      </c>
      <c r="J32" s="51">
        <f t="shared" si="21"/>
        <v>32326389.539675672</v>
      </c>
      <c r="K32" s="51">
        <f t="shared" si="21"/>
        <v>40707558.641192675</v>
      </c>
    </row>
    <row r="35" spans="1:12" ht="22">
      <c r="A35" s="1" t="s">
        <v>0</v>
      </c>
      <c r="B35" s="8" t="s">
        <v>145</v>
      </c>
      <c r="C35" s="9"/>
      <c r="D35" s="9"/>
      <c r="E35" s="9"/>
      <c r="F35" s="9"/>
      <c r="G35" s="9"/>
      <c r="H35" s="9"/>
      <c r="I35" s="9"/>
      <c r="J35" s="9"/>
      <c r="K35" s="9"/>
      <c r="L35" s="50"/>
    </row>
    <row r="36" spans="1:12">
      <c r="B36" s="6" t="s">
        <v>2</v>
      </c>
      <c r="D36" s="39">
        <v>2021</v>
      </c>
      <c r="E36" s="2">
        <f>1+D36</f>
        <v>2022</v>
      </c>
      <c r="F36" s="2">
        <f>1+E36</f>
        <v>2023</v>
      </c>
      <c r="G36" s="3">
        <f>1+F36</f>
        <v>2024</v>
      </c>
      <c r="H36" s="3">
        <f t="shared" ref="H36" si="22">1+G36</f>
        <v>2025</v>
      </c>
      <c r="I36" s="3">
        <f t="shared" ref="I36" si="23">1+H36</f>
        <v>2026</v>
      </c>
      <c r="J36" s="3">
        <f t="shared" ref="J36" si="24">1+I36</f>
        <v>2027</v>
      </c>
      <c r="K36" s="3">
        <f t="shared" ref="K36" si="25">1+J36</f>
        <v>2028</v>
      </c>
    </row>
    <row r="37" spans="1:12">
      <c r="B37" s="10" t="s">
        <v>39</v>
      </c>
      <c r="E37" s="5">
        <f>Modelling!D60-Modelling!E60</f>
        <v>-2200896</v>
      </c>
      <c r="F37" s="5">
        <f>Modelling!E60-Modelling!F60</f>
        <v>255624</v>
      </c>
      <c r="G37" s="5">
        <f>Modelling!F60-Modelling!G60</f>
        <v>-747809.2200000002</v>
      </c>
      <c r="H37" s="5">
        <f>Modelling!G60-Modelling!I60</f>
        <v>-812885.24399999948</v>
      </c>
      <c r="I37" s="5">
        <f>Modelling!I60-Modelling!J60</f>
        <v>-975462.29279999994</v>
      </c>
      <c r="J37" s="5">
        <f>Modelling!J60-Modelling!K60</f>
        <v>-877916.06351999845</v>
      </c>
      <c r="K37" s="5">
        <f>Modelling!K60-Modelling!L60</f>
        <v>-1009603.4730479997</v>
      </c>
    </row>
    <row r="38" spans="1:12">
      <c r="B38" s="10" t="s">
        <v>40</v>
      </c>
      <c r="E38" s="5">
        <f>Modelling!D61-Modelling!E61</f>
        <v>-31296</v>
      </c>
      <c r="F38" s="5">
        <f>Modelling!E61-Modelling!F61</f>
        <v>-26662</v>
      </c>
      <c r="G38" s="5">
        <f>Modelling!F61-Modelling!G61</f>
        <v>-14119.719999999972</v>
      </c>
      <c r="H38" s="5">
        <f>Modelling!G61-Modelling!I61</f>
        <v>-35990.943999999989</v>
      </c>
      <c r="I38" s="5">
        <f>Modelling!I61-Modelling!J61</f>
        <v>-43189.132799999992</v>
      </c>
      <c r="J38" s="5">
        <f>Modelling!J61-Modelling!K61</f>
        <v>-38870.219519999926</v>
      </c>
      <c r="K38" s="5">
        <f>Modelling!K61-Modelling!L61</f>
        <v>-44700.752447999956</v>
      </c>
    </row>
    <row r="39" spans="1:12">
      <c r="B39" s="10" t="s">
        <v>41</v>
      </c>
      <c r="E39" s="5">
        <f>Modelling!D62-Modelling!E62</f>
        <v>-217766</v>
      </c>
      <c r="F39" s="5">
        <f>Modelling!E62-Modelling!F62</f>
        <v>-10835</v>
      </c>
      <c r="G39" s="5">
        <f>Modelling!F62-Modelling!G62</f>
        <v>-120937.18999999994</v>
      </c>
      <c r="H39" s="5">
        <f>Modelling!G62-Modelling!I62</f>
        <v>-165665.03799999994</v>
      </c>
      <c r="I39" s="5">
        <f>Modelling!I62-Modelling!J62</f>
        <v>-198798.04559999984</v>
      </c>
      <c r="J39" s="5">
        <f>Modelling!J62-Modelling!K62</f>
        <v>-178918.24103999976</v>
      </c>
      <c r="K39" s="5">
        <f>Modelling!K62-Modelling!L62</f>
        <v>-205755.97719599982</v>
      </c>
    </row>
    <row r="40" spans="1:12">
      <c r="B40" s="10" t="s">
        <v>58</v>
      </c>
      <c r="E40" s="5">
        <f>Modelling!E87-Modelling!D87</f>
        <v>25370</v>
      </c>
      <c r="F40" s="5">
        <f>Modelling!F87-Modelling!E87</f>
        <v>-28774</v>
      </c>
      <c r="G40" s="5">
        <f>Modelling!G87-Modelling!F87</f>
        <v>13139.580818958897</v>
      </c>
      <c r="H40" s="5">
        <f>Modelling!I87-Modelling!G87</f>
        <v>5215.1161637917867</v>
      </c>
      <c r="I40" s="5">
        <f>Modelling!J87-Modelling!I87</f>
        <v>6258.1393965501265</v>
      </c>
      <c r="J40" s="5">
        <f>Modelling!K87-Modelling!J87</f>
        <v>5632.3254568951234</v>
      </c>
      <c r="K40" s="5">
        <f>Modelling!L87-Modelling!K87</f>
        <v>6477.1742754293809</v>
      </c>
    </row>
    <row r="41" spans="1:12">
      <c r="B41" s="10" t="s">
        <v>59</v>
      </c>
      <c r="E41" s="5">
        <f>Modelling!E88-Modelling!D88</f>
        <v>348318</v>
      </c>
      <c r="F41" s="5">
        <f>Modelling!F88-Modelling!E88</f>
        <v>-38916</v>
      </c>
      <c r="G41" s="5">
        <f>Modelling!G88-Modelling!F88</f>
        <v>-249226.92349183606</v>
      </c>
      <c r="H41" s="5">
        <f>Modelling!I88-Modelling!G88</f>
        <v>359843.01530163316</v>
      </c>
      <c r="I41" s="5">
        <f>Modelling!J88-Modelling!I88</f>
        <v>431811.61836195923</v>
      </c>
      <c r="J41" s="5">
        <f>Modelling!K88-Modelling!J88</f>
        <v>388630.45652576303</v>
      </c>
      <c r="K41" s="5">
        <f>Modelling!L88-Modelling!K88</f>
        <v>446925.02500462718</v>
      </c>
    </row>
    <row r="42" spans="1:12">
      <c r="B42" s="10" t="s">
        <v>60</v>
      </c>
      <c r="E42" s="5">
        <f>Modelling!E90-Modelling!D90</f>
        <v>-197308</v>
      </c>
      <c r="F42" s="5">
        <f>Modelling!F90-Modelling!E90</f>
        <v>439780</v>
      </c>
      <c r="G42" s="5">
        <f>Modelling!G90-Modelling!F90</f>
        <v>652007.63859679876</v>
      </c>
      <c r="H42" s="5">
        <f>Modelling!I90-Modelling!G90</f>
        <v>711387.32771936106</v>
      </c>
      <c r="I42" s="5">
        <f>Modelling!J90-Modelling!I90</f>
        <v>853664.79326323047</v>
      </c>
      <c r="J42" s="5">
        <f>Modelling!K90-Modelling!J90</f>
        <v>768298.3139369078</v>
      </c>
      <c r="K42" s="5">
        <f>Modelling!L90-Modelling!K90</f>
        <v>883543.06102744397</v>
      </c>
    </row>
    <row r="43" spans="1:12">
      <c r="B43" s="55" t="s">
        <v>146</v>
      </c>
      <c r="D43" s="56"/>
      <c r="E43" s="57">
        <f>SUM(E37:E42)</f>
        <v>-2273578</v>
      </c>
      <c r="F43" s="57">
        <f>SUM(F37:F42)</f>
        <v>590217</v>
      </c>
      <c r="G43" s="57">
        <f t="shared" ref="G43:K43" si="26">SUM(G37:G42)</f>
        <v>-466945.83407607861</v>
      </c>
      <c r="H43" s="57">
        <f t="shared" si="26"/>
        <v>61904.233184786513</v>
      </c>
      <c r="I43" s="57">
        <f t="shared" si="26"/>
        <v>74285.079821740044</v>
      </c>
      <c r="J43" s="57">
        <f t="shared" si="26"/>
        <v>66856.571839567972</v>
      </c>
      <c r="K43" s="57">
        <f t="shared" si="26"/>
        <v>76885.057615501108</v>
      </c>
    </row>
    <row r="45" spans="1:12">
      <c r="B45" s="15" t="s">
        <v>147</v>
      </c>
      <c r="C45" s="15"/>
      <c r="D45" s="16"/>
      <c r="E45" s="16">
        <f>AVERAGE(Modelling!D60:E60)/Modelling!E$18*365</f>
        <v>34.431023649669001</v>
      </c>
      <c r="F45" s="16">
        <f>AVERAGE(Modelling!E60:F60)/Modelling!F$18*365</f>
        <v>46.05987327180668</v>
      </c>
      <c r="G45" s="108">
        <f>F45</f>
        <v>46.05987327180668</v>
      </c>
      <c r="H45" s="16">
        <f t="shared" ref="H45:K45" si="27">G45</f>
        <v>46.05987327180668</v>
      </c>
      <c r="I45" s="16">
        <f t="shared" si="27"/>
        <v>46.05987327180668</v>
      </c>
      <c r="J45" s="16">
        <f t="shared" si="27"/>
        <v>46.05987327180668</v>
      </c>
      <c r="K45" s="16">
        <f t="shared" si="27"/>
        <v>46.05987327180668</v>
      </c>
    </row>
    <row r="46" spans="1:12">
      <c r="B46" s="15" t="s">
        <v>148</v>
      </c>
      <c r="C46" s="15"/>
      <c r="D46" s="16"/>
      <c r="E46" s="16">
        <f>AVERAGE(Modelling!D61:E61)/Modelling!E$18*365</f>
        <v>1.720650635520597</v>
      </c>
      <c r="F46" s="16">
        <f>AVERAGE(Modelling!E61:F61)/Modelling!F$18*365</f>
        <v>2.0393263770115757</v>
      </c>
      <c r="G46" s="16">
        <f t="shared" ref="G46:G50" si="28">F46</f>
        <v>2.0393263770115757</v>
      </c>
      <c r="H46" s="16">
        <f t="shared" ref="H46:K50" si="29">G46</f>
        <v>2.0393263770115757</v>
      </c>
      <c r="I46" s="16">
        <f t="shared" si="29"/>
        <v>2.0393263770115757</v>
      </c>
      <c r="J46" s="16">
        <f t="shared" si="29"/>
        <v>2.0393263770115757</v>
      </c>
      <c r="K46" s="16">
        <f t="shared" si="29"/>
        <v>2.0393263770115757</v>
      </c>
    </row>
    <row r="47" spans="1:12">
      <c r="B47" s="15" t="s">
        <v>149</v>
      </c>
      <c r="C47" s="15"/>
      <c r="D47" s="16"/>
      <c r="E47" s="16">
        <f>AVERAGE(Modelling!D62:E62)/Modelling!E$18*365</f>
        <v>8.1859927866941042</v>
      </c>
      <c r="F47" s="16">
        <f>AVERAGE(Modelling!E62:F62)/Modelling!F$18*365</f>
        <v>9.3869469425982555</v>
      </c>
      <c r="G47" s="108">
        <f>F47</f>
        <v>9.3869469425982555</v>
      </c>
      <c r="H47" s="16">
        <f t="shared" si="29"/>
        <v>9.3869469425982555</v>
      </c>
      <c r="I47" s="16">
        <f t="shared" si="29"/>
        <v>9.3869469425982555</v>
      </c>
      <c r="J47" s="16">
        <f t="shared" si="29"/>
        <v>9.3869469425982555</v>
      </c>
      <c r="K47" s="16">
        <f t="shared" si="29"/>
        <v>9.3869469425982555</v>
      </c>
    </row>
    <row r="48" spans="1:12">
      <c r="B48" s="15" t="s">
        <v>150</v>
      </c>
      <c r="C48" s="15"/>
      <c r="D48" s="16"/>
      <c r="E48" s="16">
        <f>AVERAGE(Modelling!D87:E87)/-Modelling!E$23*365</f>
        <v>1.4998566559424076</v>
      </c>
      <c r="F48" s="16">
        <f>AVERAGE(Modelling!E87:F87)/-Modelling!F$23*365</f>
        <v>1.3880973401503414</v>
      </c>
      <c r="G48" s="108">
        <v>1</v>
      </c>
      <c r="H48" s="16">
        <f t="shared" si="29"/>
        <v>1</v>
      </c>
      <c r="I48" s="16">
        <f t="shared" si="29"/>
        <v>1</v>
      </c>
      <c r="J48" s="16">
        <f t="shared" si="29"/>
        <v>1</v>
      </c>
      <c r="K48" s="16">
        <f t="shared" si="29"/>
        <v>1</v>
      </c>
    </row>
    <row r="49" spans="2:11">
      <c r="B49" s="15" t="s">
        <v>151</v>
      </c>
      <c r="C49" s="15"/>
      <c r="D49" s="15"/>
      <c r="E49" s="16">
        <f>AVERAGE(Modelling!D88:E88)/-Modelling!E$23*365</f>
        <v>98.863884730141535</v>
      </c>
      <c r="F49" s="16">
        <f>AVERAGE(Modelling!E88:F88)/-Modelling!F$23*365</f>
        <v>105.05605130098786</v>
      </c>
      <c r="G49" s="108">
        <v>69</v>
      </c>
      <c r="H49" s="16">
        <f t="shared" si="29"/>
        <v>69</v>
      </c>
      <c r="I49" s="16">
        <f t="shared" si="29"/>
        <v>69</v>
      </c>
      <c r="J49" s="16">
        <f t="shared" si="29"/>
        <v>69</v>
      </c>
      <c r="K49" s="16">
        <f t="shared" si="29"/>
        <v>69</v>
      </c>
    </row>
    <row r="50" spans="2:11">
      <c r="B50" s="15" t="s">
        <v>152</v>
      </c>
      <c r="C50" s="15"/>
      <c r="D50" s="15"/>
      <c r="E50" s="16">
        <f>AVERAGE(Modelling!D90:E90)/-Modelling!E$23*365</f>
        <v>132.48361736692894</v>
      </c>
      <c r="F50" s="16">
        <f>AVERAGE(Modelling!E90:F90)/-Modelling!F$23*365</f>
        <v>136.40872137393157</v>
      </c>
      <c r="G50" s="113">
        <f t="shared" si="28"/>
        <v>136.40872137393157</v>
      </c>
      <c r="H50" s="16">
        <f t="shared" si="29"/>
        <v>136.40872137393157</v>
      </c>
      <c r="I50" s="16">
        <f t="shared" si="29"/>
        <v>136.40872137393157</v>
      </c>
      <c r="J50" s="16">
        <f t="shared" si="29"/>
        <v>136.40872137393157</v>
      </c>
      <c r="K50" s="16">
        <f t="shared" si="29"/>
        <v>136.40872137393157</v>
      </c>
    </row>
  </sheetData>
  <pageMargins left="0.7" right="0.7" top="0.75" bottom="0.75" header="0.3" footer="0.3"/>
  <pageSetup paperSize="9" orientation="portrait" horizontalDpi="0" verticalDpi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B4B5B-28C6-9249-9928-518DD7F3E5F2}">
  <sheetPr codeName="Sheet4"/>
  <dimension ref="B1:H51"/>
  <sheetViews>
    <sheetView topLeftCell="A15" zoomScale="157" workbookViewId="0">
      <selection activeCell="A17" sqref="A17"/>
    </sheetView>
  </sheetViews>
  <sheetFormatPr baseColWidth="10" defaultColWidth="11.5" defaultRowHeight="15"/>
  <cols>
    <col min="1" max="1" width="1.5" customWidth="1"/>
    <col min="2" max="2" width="35.83203125" bestFit="1" customWidth="1"/>
    <col min="5" max="5" width="25.6640625" bestFit="1" customWidth="1"/>
  </cols>
  <sheetData>
    <row r="1" spans="2:8" ht="5" customHeight="1" thickBot="1"/>
    <row r="2" spans="2:8" ht="19" thickBot="1">
      <c r="B2" s="166" t="s">
        <v>153</v>
      </c>
      <c r="C2" s="167"/>
      <c r="D2" s="167"/>
      <c r="E2" s="167"/>
      <c r="F2" s="167"/>
      <c r="G2" s="167"/>
      <c r="H2" s="168"/>
    </row>
    <row r="3" spans="2:8">
      <c r="B3" s="73" t="s">
        <v>154</v>
      </c>
      <c r="D3" t="s">
        <v>155</v>
      </c>
    </row>
    <row r="4" spans="2:8">
      <c r="D4" t="s">
        <v>156</v>
      </c>
    </row>
    <row r="5" spans="2:8" ht="16" thickBot="1"/>
    <row r="6" spans="2:8" ht="19" thickBot="1">
      <c r="B6" s="166" t="s">
        <v>157</v>
      </c>
      <c r="C6" s="167"/>
      <c r="D6" s="167"/>
      <c r="E6" s="167"/>
      <c r="F6" s="167"/>
      <c r="G6" s="167"/>
      <c r="H6" s="168"/>
    </row>
    <row r="7" spans="2:8">
      <c r="B7" t="s">
        <v>158</v>
      </c>
      <c r="D7" t="s">
        <v>159</v>
      </c>
    </row>
    <row r="8" spans="2:8">
      <c r="D8" t="s">
        <v>160</v>
      </c>
    </row>
    <row r="10" spans="2:8" ht="16" thickBot="1"/>
    <row r="11" spans="2:8" ht="19" thickBot="1">
      <c r="B11" s="166" t="s">
        <v>161</v>
      </c>
      <c r="C11" s="167"/>
      <c r="D11" s="167"/>
      <c r="E11" s="167"/>
      <c r="F11" s="167"/>
      <c r="G11" s="167"/>
      <c r="H11" s="168"/>
    </row>
    <row r="12" spans="2:8" ht="32">
      <c r="B12" s="103" t="s">
        <v>162</v>
      </c>
      <c r="C12" s="169" t="s">
        <v>163</v>
      </c>
      <c r="D12" s="169"/>
      <c r="E12" s="169"/>
      <c r="F12" s="169"/>
      <c r="G12" s="169"/>
      <c r="H12" s="169"/>
    </row>
    <row r="13" spans="2:8">
      <c r="B13" s="104" t="s">
        <v>164</v>
      </c>
      <c r="C13" s="170" t="s">
        <v>165</v>
      </c>
      <c r="D13" s="170"/>
      <c r="E13" s="170"/>
      <c r="F13" s="170"/>
      <c r="G13" s="170"/>
      <c r="H13" s="171"/>
    </row>
    <row r="14" spans="2:8">
      <c r="B14" t="s">
        <v>166</v>
      </c>
      <c r="C14" s="106">
        <f>SUM(F14:F35)</f>
        <v>0.47520000000000007</v>
      </c>
      <c r="E14" t="s">
        <v>167</v>
      </c>
      <c r="F14" s="105">
        <v>0.23330000000000001</v>
      </c>
      <c r="G14" t="s">
        <v>168</v>
      </c>
    </row>
    <row r="15" spans="2:8">
      <c r="E15" t="s">
        <v>169</v>
      </c>
      <c r="F15" s="105">
        <v>0.1065</v>
      </c>
      <c r="G15" t="s">
        <v>170</v>
      </c>
    </row>
    <row r="16" spans="2:8">
      <c r="E16" t="s">
        <v>171</v>
      </c>
      <c r="F16" s="105">
        <v>4.5699999999999998E-2</v>
      </c>
    </row>
    <row r="17" spans="5:6">
      <c r="E17" t="s">
        <v>172</v>
      </c>
      <c r="F17" s="105">
        <v>1.46E-2</v>
      </c>
    </row>
    <row r="18" spans="5:6">
      <c r="E18" t="s">
        <v>173</v>
      </c>
      <c r="F18" s="105">
        <v>1.38E-2</v>
      </c>
    </row>
    <row r="19" spans="5:6">
      <c r="E19" t="s">
        <v>174</v>
      </c>
      <c r="F19" s="105">
        <v>8.3999999999999995E-3</v>
      </c>
    </row>
    <row r="20" spans="5:6">
      <c r="E20" t="s">
        <v>175</v>
      </c>
      <c r="F20" s="105">
        <v>5.7999999999999996E-3</v>
      </c>
    </row>
    <row r="21" spans="5:6">
      <c r="E21" t="s">
        <v>176</v>
      </c>
      <c r="F21" s="105">
        <v>5.4000000000000003E-3</v>
      </c>
    </row>
    <row r="22" spans="5:6">
      <c r="E22" t="s">
        <v>177</v>
      </c>
      <c r="F22" s="105">
        <v>5.0000000000000001E-3</v>
      </c>
    </row>
    <row r="23" spans="5:6">
      <c r="E23" t="s">
        <v>178</v>
      </c>
      <c r="F23" s="105">
        <v>4.5999999999999999E-3</v>
      </c>
    </row>
    <row r="24" spans="5:6">
      <c r="E24" t="s">
        <v>179</v>
      </c>
      <c r="F24" s="105">
        <v>4.3E-3</v>
      </c>
    </row>
    <row r="25" spans="5:6">
      <c r="E25" t="s">
        <v>180</v>
      </c>
      <c r="F25" s="105">
        <v>4.0000000000000001E-3</v>
      </c>
    </row>
    <row r="26" spans="5:6">
      <c r="E26" t="s">
        <v>181</v>
      </c>
      <c r="F26" s="105">
        <v>3.5999999999999999E-3</v>
      </c>
    </row>
    <row r="27" spans="5:6">
      <c r="E27" t="s">
        <v>182</v>
      </c>
      <c r="F27" s="105">
        <v>2.8999999999999998E-3</v>
      </c>
    </row>
    <row r="28" spans="5:6">
      <c r="E28" t="s">
        <v>183</v>
      </c>
      <c r="F28" s="105">
        <v>2.5999999999999999E-3</v>
      </c>
    </row>
    <row r="29" spans="5:6">
      <c r="E29" t="s">
        <v>184</v>
      </c>
      <c r="F29" s="105">
        <v>2.5999999999999999E-3</v>
      </c>
    </row>
    <row r="30" spans="5:6">
      <c r="E30" t="s">
        <v>185</v>
      </c>
      <c r="F30" s="105">
        <v>2.3E-3</v>
      </c>
    </row>
    <row r="31" spans="5:6">
      <c r="E31" t="s">
        <v>186</v>
      </c>
      <c r="F31" s="105">
        <v>2.2000000000000001E-3</v>
      </c>
    </row>
    <row r="32" spans="5:6">
      <c r="E32" t="s">
        <v>187</v>
      </c>
      <c r="F32" s="105">
        <v>2E-3</v>
      </c>
    </row>
    <row r="33" spans="2:6">
      <c r="E33" t="s">
        <v>188</v>
      </c>
      <c r="F33" s="105">
        <v>2E-3</v>
      </c>
    </row>
    <row r="34" spans="2:6">
      <c r="E34" t="s">
        <v>189</v>
      </c>
      <c r="F34" s="105">
        <v>2E-3</v>
      </c>
    </row>
    <row r="35" spans="2:6">
      <c r="E35" t="s">
        <v>190</v>
      </c>
      <c r="F35" s="105">
        <v>1.6000000000000001E-3</v>
      </c>
    </row>
    <row r="37" spans="2:6">
      <c r="B37" t="s">
        <v>191</v>
      </c>
      <c r="C37" s="106">
        <f>F37</f>
        <v>4.9200000000000001E-2</v>
      </c>
      <c r="E37" t="s">
        <v>192</v>
      </c>
      <c r="F37" s="105">
        <v>4.9200000000000001E-2</v>
      </c>
    </row>
    <row r="39" spans="2:6">
      <c r="B39" t="s">
        <v>193</v>
      </c>
      <c r="C39" s="106">
        <f>SUM(F39:F41)</f>
        <v>0.30170000000000002</v>
      </c>
      <c r="E39" t="s">
        <v>194</v>
      </c>
      <c r="F39" s="105">
        <v>0.18</v>
      </c>
    </row>
    <row r="40" spans="2:6">
      <c r="E40" t="s">
        <v>195</v>
      </c>
      <c r="F40" s="105">
        <v>0.11940000000000001</v>
      </c>
    </row>
    <row r="41" spans="2:6">
      <c r="E41" t="s">
        <v>196</v>
      </c>
      <c r="F41" s="105">
        <v>2.3E-3</v>
      </c>
    </row>
    <row r="42" spans="2:6">
      <c r="C42" s="105"/>
    </row>
    <row r="43" spans="2:6">
      <c r="B43" t="s">
        <v>197</v>
      </c>
      <c r="C43" s="106">
        <f>SUM(C39,C37,C14)</f>
        <v>0.82610000000000006</v>
      </c>
    </row>
    <row r="44" spans="2:6">
      <c r="B44" t="s">
        <v>198</v>
      </c>
      <c r="C44" s="105">
        <f>100%-C43</f>
        <v>0.17389999999999994</v>
      </c>
    </row>
    <row r="49" spans="2:3">
      <c r="B49" s="4"/>
      <c r="C49" s="4"/>
    </row>
    <row r="51" spans="2:3">
      <c r="B51" s="4"/>
      <c r="C51" s="4"/>
    </row>
  </sheetData>
  <mergeCells count="5">
    <mergeCell ref="B2:H2"/>
    <mergeCell ref="B11:H11"/>
    <mergeCell ref="C12:H12"/>
    <mergeCell ref="C13:H13"/>
    <mergeCell ref="B6:H6"/>
  </mergeCells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683D6-47DF-0846-B63C-422175726C9A}">
  <sheetPr codeName="Sheet5"/>
  <dimension ref="B1:N44"/>
  <sheetViews>
    <sheetView showGridLines="0" topLeftCell="A11" zoomScale="125" workbookViewId="0">
      <selection activeCell="C36" sqref="C36"/>
    </sheetView>
  </sheetViews>
  <sheetFormatPr baseColWidth="10" defaultColWidth="11.5" defaultRowHeight="15"/>
  <cols>
    <col min="1" max="1" width="2" customWidth="1"/>
    <col min="2" max="2" width="27.33203125" customWidth="1"/>
    <col min="3" max="3" width="14.83203125" bestFit="1" customWidth="1"/>
    <col min="4" max="4" width="3.83203125" customWidth="1"/>
    <col min="5" max="5" width="26.33203125" customWidth="1"/>
    <col min="6" max="8" width="17.6640625" customWidth="1"/>
    <col min="9" max="9" width="14" bestFit="1" customWidth="1"/>
    <col min="10" max="10" width="17.5" customWidth="1"/>
    <col min="11" max="11" width="15" bestFit="1" customWidth="1"/>
    <col min="12" max="12" width="5.33203125" customWidth="1"/>
    <col min="13" max="13" width="16" customWidth="1"/>
    <col min="14" max="14" width="14.1640625" bestFit="1" customWidth="1"/>
  </cols>
  <sheetData>
    <row r="1" spans="2:14" ht="8.25" customHeight="1"/>
    <row r="2" spans="2:14">
      <c r="B2" s="119" t="s">
        <v>114</v>
      </c>
      <c r="C2" s="120"/>
      <c r="E2" s="119" t="s">
        <v>199</v>
      </c>
      <c r="F2" s="120"/>
    </row>
    <row r="3" spans="2:14">
      <c r="B3" t="s">
        <v>200</v>
      </c>
      <c r="C3" s="121">
        <f>Modelling!G38</f>
        <v>0.24015066944448873</v>
      </c>
      <c r="E3" t="s">
        <v>201</v>
      </c>
      <c r="F3" s="121">
        <v>7.0800000000000002E-2</v>
      </c>
    </row>
    <row r="4" spans="2:14">
      <c r="B4" t="s">
        <v>202</v>
      </c>
      <c r="C4" s="130">
        <v>0.15</v>
      </c>
      <c r="E4" t="s">
        <v>203</v>
      </c>
      <c r="F4" s="121">
        <v>0.15</v>
      </c>
    </row>
    <row r="5" spans="2:14">
      <c r="B5" t="s">
        <v>204</v>
      </c>
      <c r="C5" s="121">
        <v>5.8999999999999997E-2</v>
      </c>
      <c r="E5" t="s">
        <v>205</v>
      </c>
      <c r="F5" s="121">
        <v>0.3</v>
      </c>
    </row>
    <row r="6" spans="2:14">
      <c r="B6" t="s">
        <v>206</v>
      </c>
      <c r="C6" s="5">
        <f>F19+F21</f>
        <v>17777077.229479998</v>
      </c>
    </row>
    <row r="7" spans="2:14">
      <c r="B7" t="s">
        <v>207</v>
      </c>
      <c r="C7" s="131">
        <v>7.3708125848831845</v>
      </c>
      <c r="E7" s="119" t="s">
        <v>208</v>
      </c>
      <c r="F7" s="120"/>
    </row>
    <row r="8" spans="2:14">
      <c r="B8" t="s">
        <v>209</v>
      </c>
      <c r="C8" s="128">
        <f ca="1">TODAY()</f>
        <v>45538</v>
      </c>
      <c r="E8" t="s">
        <v>210</v>
      </c>
      <c r="F8" s="5">
        <f ca="1">C33/C6</f>
        <v>7.3708125848831845</v>
      </c>
    </row>
    <row r="9" spans="2:14">
      <c r="B9" t="s">
        <v>211</v>
      </c>
      <c r="C9" s="36">
        <v>0.88</v>
      </c>
      <c r="E9" t="s">
        <v>212</v>
      </c>
      <c r="F9" s="36">
        <v>14.13</v>
      </c>
    </row>
    <row r="10" spans="2:14">
      <c r="B10" t="s">
        <v>213</v>
      </c>
      <c r="C10" s="36">
        <f>Modelling!G46</f>
        <v>173215833</v>
      </c>
    </row>
    <row r="13" spans="2:14" ht="22">
      <c r="B13" s="117" t="s">
        <v>214</v>
      </c>
      <c r="C13" s="118"/>
      <c r="D13" s="118"/>
      <c r="E13" s="123" t="s">
        <v>215</v>
      </c>
      <c r="F13" s="123">
        <v>2024</v>
      </c>
      <c r="G13" s="123">
        <f>1+F13</f>
        <v>2025</v>
      </c>
      <c r="H13" s="123">
        <f t="shared" ref="H13:J13" si="0">1+G13</f>
        <v>2026</v>
      </c>
      <c r="I13" s="123">
        <f t="shared" si="0"/>
        <v>2027</v>
      </c>
      <c r="J13" s="123">
        <f t="shared" si="0"/>
        <v>2028</v>
      </c>
      <c r="K13" s="123" t="s">
        <v>216</v>
      </c>
      <c r="M13" s="119" t="s">
        <v>217</v>
      </c>
      <c r="N13" s="120"/>
    </row>
    <row r="14" spans="2:14">
      <c r="B14" t="s">
        <v>218</v>
      </c>
      <c r="E14" s="122">
        <f ca="1">C8</f>
        <v>45538</v>
      </c>
      <c r="F14" s="124">
        <f>DATE(F13,6,30)</f>
        <v>45473</v>
      </c>
      <c r="G14" s="124">
        <f t="shared" ref="G14:J14" si="1">DATE(G13,6,30)</f>
        <v>45838</v>
      </c>
      <c r="H14" s="124">
        <f t="shared" si="1"/>
        <v>46203</v>
      </c>
      <c r="I14" s="124">
        <f t="shared" si="1"/>
        <v>46568</v>
      </c>
      <c r="J14" s="124">
        <f t="shared" si="1"/>
        <v>46934</v>
      </c>
      <c r="K14" s="124">
        <f>J14</f>
        <v>46934</v>
      </c>
      <c r="M14" t="s">
        <v>219</v>
      </c>
      <c r="N14" s="5">
        <f ca="1">(J24*(1+C5))/(C4-C5)</f>
        <v>307400021.65402865</v>
      </c>
    </row>
    <row r="15" spans="2:14">
      <c r="B15" t="s">
        <v>220</v>
      </c>
      <c r="F15" s="5">
        <f>F13-($F$13)</f>
        <v>0</v>
      </c>
      <c r="G15" s="5">
        <f t="shared" ref="G15:J15" si="2">G13-($F$13)</f>
        <v>1</v>
      </c>
      <c r="H15" s="5">
        <f t="shared" si="2"/>
        <v>2</v>
      </c>
      <c r="I15" s="5">
        <f t="shared" si="2"/>
        <v>3</v>
      </c>
      <c r="J15" s="5">
        <f t="shared" si="2"/>
        <v>4</v>
      </c>
      <c r="K15" s="5">
        <f>J15</f>
        <v>4</v>
      </c>
      <c r="M15" t="s">
        <v>208</v>
      </c>
      <c r="N15" s="5">
        <f ca="1">C7*(J19+J21)</f>
        <v>249536397.2945219</v>
      </c>
    </row>
    <row r="17" spans="2:11">
      <c r="B17" t="s">
        <v>221</v>
      </c>
      <c r="F17" s="5">
        <f>Modelling!G36</f>
        <v>16491193.922783704</v>
      </c>
      <c r="G17" s="5">
        <f ca="1">Modelling!I36</f>
        <v>19811339.556162097</v>
      </c>
      <c r="H17" s="5">
        <f ca="1">Modelling!J36</f>
        <v>23790287.195931409</v>
      </c>
      <c r="I17" s="5">
        <f ca="1">Modelling!K36</f>
        <v>27288857.623953272</v>
      </c>
      <c r="J17" s="5">
        <f ca="1">Modelling!L36</f>
        <v>31299639.324310616</v>
      </c>
      <c r="K17" s="5"/>
    </row>
    <row r="18" spans="2:11">
      <c r="B18" t="s">
        <v>78</v>
      </c>
      <c r="F18" s="126">
        <f>Modelling!G35*-1</f>
        <v>7012.0104000000001</v>
      </c>
      <c r="G18" s="126">
        <f ca="1">Modelling!I35*-1</f>
        <v>0</v>
      </c>
      <c r="H18" s="126">
        <f ca="1">Modelling!J35*-1</f>
        <v>0</v>
      </c>
      <c r="I18" s="126">
        <f ca="1">Modelling!K35*-1</f>
        <v>0</v>
      </c>
      <c r="J18" s="126">
        <f ca="1">Modelling!L35*-1</f>
        <v>0</v>
      </c>
    </row>
    <row r="19" spans="2:11">
      <c r="B19" t="s">
        <v>222</v>
      </c>
      <c r="F19" s="32">
        <f>SUM(F17:F18)</f>
        <v>16498205.933183704</v>
      </c>
      <c r="G19" s="32">
        <f t="shared" ref="G19:J19" ca="1" si="3">SUM(G17:G18)</f>
        <v>19811339.556162097</v>
      </c>
      <c r="H19" s="32">
        <f t="shared" ca="1" si="3"/>
        <v>23790287.195931409</v>
      </c>
      <c r="I19" s="32">
        <f t="shared" ca="1" si="3"/>
        <v>27288857.623953272</v>
      </c>
      <c r="J19" s="32">
        <f t="shared" ca="1" si="3"/>
        <v>31299639.324310616</v>
      </c>
    </row>
    <row r="20" spans="2:11">
      <c r="B20" t="s">
        <v>223</v>
      </c>
      <c r="F20" s="5">
        <f>F19*$C$3*-1</f>
        <v>-3962055.1994871022</v>
      </c>
      <c r="G20" s="5">
        <f t="shared" ref="G20:J20" ca="1" si="4">G19*$C$3*-1</f>
        <v>-4757706.4570044074</v>
      </c>
      <c r="H20" s="5">
        <f t="shared" ca="1" si="4"/>
        <v>-5713253.3963795761</v>
      </c>
      <c r="I20" s="5">
        <f t="shared" ca="1" si="4"/>
        <v>-6553437.426767718</v>
      </c>
      <c r="J20" s="5">
        <f t="shared" ca="1" si="4"/>
        <v>-7516629.3371042395</v>
      </c>
    </row>
    <row r="21" spans="2:11">
      <c r="B21" t="s">
        <v>224</v>
      </c>
      <c r="F21" s="5">
        <f>SUM(Modelling!G107:G108)</f>
        <v>1278871.2962962962</v>
      </c>
      <c r="G21" s="5">
        <f>SUM(Modelling!H107:H108)</f>
        <v>1521153.1192139029</v>
      </c>
      <c r="H21" s="5">
        <f>SUM(Modelling!I107:I108)</f>
        <v>1808704.0145197893</v>
      </c>
      <c r="I21" s="5">
        <f>SUM(Modelling!J107:J108)</f>
        <v>2149982.2680656025</v>
      </c>
      <c r="J21" s="5">
        <f>SUM(Modelling!K107:K108)</f>
        <v>2555026.5515110875</v>
      </c>
    </row>
    <row r="22" spans="2:11">
      <c r="B22" t="s">
        <v>225</v>
      </c>
      <c r="F22" s="126">
        <f>Modelling!G116+Modelling!G120</f>
        <v>0</v>
      </c>
      <c r="G22" s="126">
        <f>Modelling!H116+Modelling!H120</f>
        <v>0</v>
      </c>
      <c r="H22" s="126">
        <f>Modelling!I116+Modelling!I120</f>
        <v>0</v>
      </c>
      <c r="I22" s="126">
        <f>Modelling!J116+Modelling!J120</f>
        <v>0</v>
      </c>
      <c r="J22" s="126">
        <f>Modelling!K116+Modelling!K120</f>
        <v>0</v>
      </c>
    </row>
    <row r="23" spans="2:11">
      <c r="B23" t="s">
        <v>226</v>
      </c>
      <c r="F23" s="5">
        <f>'Supporting Schedule'!G43</f>
        <v>-466945.83407607861</v>
      </c>
      <c r="G23" s="5">
        <f>'Supporting Schedule'!H43</f>
        <v>61904.233184786513</v>
      </c>
      <c r="H23" s="5">
        <f>'Supporting Schedule'!I43</f>
        <v>74285.079821740044</v>
      </c>
      <c r="I23" s="5">
        <f>'Supporting Schedule'!J43</f>
        <v>66856.571839567972</v>
      </c>
      <c r="J23" s="5">
        <f>'Supporting Schedule'!K43</f>
        <v>76885.057615501108</v>
      </c>
    </row>
    <row r="24" spans="2:11">
      <c r="B24" s="6" t="s">
        <v>227</v>
      </c>
      <c r="F24" s="32">
        <f>SUM(F19:F23)</f>
        <v>13348076.19591682</v>
      </c>
      <c r="G24" s="32">
        <f t="shared" ref="G24:J24" ca="1" si="5">SUM(G19:G23)</f>
        <v>16636690.451556379</v>
      </c>
      <c r="H24" s="32">
        <f t="shared" ca="1" si="5"/>
        <v>19960022.893893361</v>
      </c>
      <c r="I24" s="32">
        <f t="shared" ca="1" si="5"/>
        <v>22952259.037090722</v>
      </c>
      <c r="J24" s="32">
        <f t="shared" ca="1" si="5"/>
        <v>26414921.596332964</v>
      </c>
    </row>
    <row r="25" spans="2:11">
      <c r="B25" s="6"/>
      <c r="F25" s="5"/>
      <c r="G25" s="5"/>
      <c r="H25" s="5"/>
      <c r="I25" s="5"/>
      <c r="J25" s="5"/>
    </row>
    <row r="26" spans="2:11">
      <c r="B26" s="6" t="s">
        <v>228</v>
      </c>
      <c r="E26" s="5"/>
      <c r="F26" s="5">
        <f>F24</f>
        <v>13348076.19591682</v>
      </c>
      <c r="G26" s="5">
        <f t="shared" ref="G26:J26" ca="1" si="6">G24</f>
        <v>16636690.451556379</v>
      </c>
      <c r="H26" s="5">
        <f t="shared" ca="1" si="6"/>
        <v>19960022.893893361</v>
      </c>
      <c r="I26" s="5">
        <f t="shared" ca="1" si="6"/>
        <v>22952259.037090722</v>
      </c>
      <c r="J26" s="5">
        <f t="shared" ca="1" si="6"/>
        <v>26414921.596332964</v>
      </c>
      <c r="K26" s="5">
        <f ca="1">AVERAGE(N14:N15)</f>
        <v>278468209.47427529</v>
      </c>
    </row>
    <row r="27" spans="2:11">
      <c r="B27" t="s">
        <v>229</v>
      </c>
      <c r="E27" s="125"/>
      <c r="F27" s="32">
        <f t="shared" ref="F27:K27" si="7">F26/(1+$C$4)^F15</f>
        <v>13348076.19591682</v>
      </c>
      <c r="G27" s="32">
        <f t="shared" ca="1" si="7"/>
        <v>14466687.349179462</v>
      </c>
      <c r="H27" s="32">
        <f t="shared" ca="1" si="7"/>
        <v>15092644.910316344</v>
      </c>
      <c r="I27" s="32">
        <f t="shared" ca="1" si="7"/>
        <v>15091482.887870949</v>
      </c>
      <c r="J27" s="32">
        <f t="shared" ca="1" si="7"/>
        <v>15102817.154788882</v>
      </c>
      <c r="K27" s="32">
        <f t="shared" ca="1" si="7"/>
        <v>159215102.56139758</v>
      </c>
    </row>
    <row r="28" spans="2:11">
      <c r="B28" s="6"/>
      <c r="F28" s="5"/>
      <c r="G28" s="5"/>
      <c r="H28" s="5"/>
      <c r="I28" s="5"/>
      <c r="J28" s="5"/>
      <c r="K28" s="5"/>
    </row>
    <row r="29" spans="2:11">
      <c r="B29" s="119" t="s">
        <v>230</v>
      </c>
      <c r="C29" s="120"/>
      <c r="E29" s="119" t="s">
        <v>231</v>
      </c>
      <c r="F29" s="120" t="s">
        <v>232</v>
      </c>
      <c r="G29" s="120" t="s">
        <v>208</v>
      </c>
      <c r="H29" s="120" t="s">
        <v>233</v>
      </c>
      <c r="J29" s="119" t="s">
        <v>234</v>
      </c>
      <c r="K29" s="120"/>
    </row>
    <row r="30" spans="2:11">
      <c r="B30" t="s">
        <v>235</v>
      </c>
      <c r="C30" s="5">
        <f>C9*C10</f>
        <v>152429933.03999999</v>
      </c>
      <c r="E30" t="s">
        <v>236</v>
      </c>
      <c r="F30" s="132">
        <f ca="1">SUM(G27:J27)</f>
        <v>59753632.302155636</v>
      </c>
      <c r="G30" s="132">
        <f ca="1">SUM(G27:J27)</f>
        <v>59753632.302155636</v>
      </c>
      <c r="H30" s="132">
        <f ca="1">AVERAGE(F30:G30)</f>
        <v>59753632.302155636</v>
      </c>
      <c r="J30" t="s">
        <v>237</v>
      </c>
      <c r="K30" s="129">
        <f ca="1">F36/C36-1</f>
        <v>0.68542369421173222</v>
      </c>
    </row>
    <row r="31" spans="2:11">
      <c r="B31" t="s">
        <v>238</v>
      </c>
      <c r="C31" s="126">
        <f ca="1">Modelling!G89+Modelling!G82</f>
        <v>0</v>
      </c>
      <c r="E31" t="s">
        <v>239</v>
      </c>
      <c r="F31" s="132">
        <f ca="1">N14/(1+C4)^K15</f>
        <v>175756960.07605961</v>
      </c>
      <c r="G31" s="132">
        <f ca="1">N15/(1+C4)^K15</f>
        <v>142673245.04673553</v>
      </c>
      <c r="H31" s="132">
        <f ca="1">AVERAGE(F31:G31)</f>
        <v>159215102.56139755</v>
      </c>
      <c r="I31" s="129"/>
      <c r="J31" t="s">
        <v>208</v>
      </c>
      <c r="K31" s="129">
        <f ca="1">G36/C36-1</f>
        <v>0.46838157938877023</v>
      </c>
    </row>
    <row r="32" spans="2:11">
      <c r="B32" t="s">
        <v>240</v>
      </c>
      <c r="C32" s="5">
        <f ca="1">Modelling!G70</f>
        <v>21398428.474508531</v>
      </c>
      <c r="E32" s="6" t="s">
        <v>241</v>
      </c>
      <c r="F32" s="134">
        <f ca="1">SUM(F30:F31)</f>
        <v>235510592.37821525</v>
      </c>
      <c r="G32" s="134">
        <f t="shared" ref="G32:H32" ca="1" si="8">SUM(G30:G31)</f>
        <v>202426877.34889117</v>
      </c>
      <c r="H32" s="134">
        <f t="shared" ca="1" si="8"/>
        <v>218968734.8635532</v>
      </c>
      <c r="J32" t="s">
        <v>233</v>
      </c>
      <c r="K32" s="129">
        <f ca="1">H36/C36-1</f>
        <v>0.57690263680025122</v>
      </c>
    </row>
    <row r="33" spans="2:8">
      <c r="B33" t="s">
        <v>242</v>
      </c>
      <c r="C33" s="127">
        <f ca="1">C30+C31-C32</f>
        <v>131031504.56549147</v>
      </c>
      <c r="E33" t="s">
        <v>243</v>
      </c>
      <c r="F33" s="5">
        <f ca="1">$C32</f>
        <v>21398428.474508531</v>
      </c>
      <c r="G33" s="5">
        <f ca="1">$C32</f>
        <v>21398428.474508531</v>
      </c>
      <c r="H33" s="5">
        <f ca="1">$C32</f>
        <v>21398428.474508531</v>
      </c>
    </row>
    <row r="34" spans="2:8">
      <c r="E34" t="s">
        <v>244</v>
      </c>
      <c r="F34" s="5">
        <f ca="1">$C31</f>
        <v>0</v>
      </c>
      <c r="G34" s="5">
        <f ca="1">$C31</f>
        <v>0</v>
      </c>
      <c r="H34" s="5">
        <f ca="1">$C31</f>
        <v>0</v>
      </c>
    </row>
    <row r="35" spans="2:8">
      <c r="B35" t="s">
        <v>293</v>
      </c>
      <c r="C35">
        <v>7.63</v>
      </c>
      <c r="E35" t="s">
        <v>245</v>
      </c>
      <c r="F35" s="133">
        <f ca="1">F32+F33-F34</f>
        <v>256909020.85272378</v>
      </c>
      <c r="G35" s="133">
        <f t="shared" ref="G35:H35" ca="1" si="9">G32+G33-G34</f>
        <v>223825305.82339969</v>
      </c>
      <c r="H35" s="133">
        <f t="shared" ca="1" si="9"/>
        <v>240367163.33806172</v>
      </c>
    </row>
    <row r="36" spans="2:8">
      <c r="B36" t="s">
        <v>246</v>
      </c>
      <c r="C36" s="126">
        <f>C30/C10</f>
        <v>0.88</v>
      </c>
      <c r="E36" s="6" t="s">
        <v>247</v>
      </c>
      <c r="F36" s="135">
        <f ca="1">F35/$C$10</f>
        <v>1.4831728509063244</v>
      </c>
      <c r="G36" s="135">
        <f ca="1">G35/$C$10</f>
        <v>1.2921757898621178</v>
      </c>
      <c r="H36" s="135">
        <f ca="1">H35/$C$10</f>
        <v>1.387674320384221</v>
      </c>
    </row>
    <row r="38" spans="2:8">
      <c r="B38" s="15" t="s">
        <v>248</v>
      </c>
      <c r="C38" s="136">
        <f>C36/C35*100</f>
        <v>11.533420707732635</v>
      </c>
      <c r="F38" s="136">
        <f ca="1">F36/Modelling!$G$47*100</f>
        <v>20.502167158258104</v>
      </c>
      <c r="G38" s="136">
        <f ca="1">G36/Modelling!$G$47*100</f>
        <v>17.861980163282105</v>
      </c>
      <c r="H38" s="136">
        <f ca="1">H36/Modelling!$G$47*100</f>
        <v>19.182073660770101</v>
      </c>
    </row>
    <row r="39" spans="2:8">
      <c r="B39" s="15" t="s">
        <v>249</v>
      </c>
      <c r="C39" s="136">
        <f>(C38/C43)/100</f>
        <v>0.57502873768817131</v>
      </c>
      <c r="F39" s="136">
        <f ca="1">(F38/Modelling!$G$48)/100</f>
        <v>1.4824796197248613</v>
      </c>
      <c r="G39" s="136">
        <f ca="1">(G38/Modelling!$G$48)/100</f>
        <v>1.2915718302164725</v>
      </c>
      <c r="H39" s="136">
        <f ca="1">(H38/Modelling!$G$48)/100</f>
        <v>1.3870257249706666</v>
      </c>
    </row>
    <row r="41" spans="2:8">
      <c r="B41" s="73" t="s">
        <v>250</v>
      </c>
      <c r="C41" s="137">
        <v>1.1499999999999999</v>
      </c>
      <c r="E41" s="156" t="s">
        <v>305</v>
      </c>
      <c r="F41" s="165" t="s">
        <v>295</v>
      </c>
      <c r="G41" s="165" t="s">
        <v>296</v>
      </c>
      <c r="H41" s="165" t="s">
        <v>297</v>
      </c>
    </row>
    <row r="42" spans="2:8">
      <c r="E42" t="s">
        <v>304</v>
      </c>
      <c r="F42" s="163">
        <v>0.79</v>
      </c>
      <c r="G42" s="163">
        <v>0.99</v>
      </c>
      <c r="H42" s="163">
        <v>1.39</v>
      </c>
    </row>
    <row r="43" spans="2:8">
      <c r="B43" t="s">
        <v>294</v>
      </c>
      <c r="C43" s="58">
        <f>C35/Modelling!F47-1</f>
        <v>0.20057120543403206</v>
      </c>
      <c r="E43" s="62" t="s">
        <v>306</v>
      </c>
      <c r="F43" s="164">
        <f>F42/$C$36-1</f>
        <v>-0.10227272727272718</v>
      </c>
      <c r="G43" s="164">
        <f t="shared" ref="G43" si="10">G42/$C$36-1</f>
        <v>0.125</v>
      </c>
      <c r="H43" s="164">
        <f>H42/$C$36-1</f>
        <v>0.57954545454545436</v>
      </c>
    </row>
    <row r="44" spans="2:8">
      <c r="C44" s="146"/>
    </row>
  </sheetData>
  <dataValidations disablePrompts="1" count="2">
    <dataValidation type="list" allowBlank="1" showInputMessage="1" showErrorMessage="1" sqref="C4" xr:uid="{0C39E948-788D-4D55-9EE9-A3934E843419}">
      <formula1>$F$3:$F$5</formula1>
    </dataValidation>
    <dataValidation type="list" allowBlank="1" showInputMessage="1" showErrorMessage="1" sqref="C7" xr:uid="{C0B0E84F-C57A-44D0-BB2C-61782691066B}">
      <formula1>$F$8:$F$9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Analysis</vt:lpstr>
      <vt:lpstr>Modelling</vt:lpstr>
      <vt:lpstr>Supporting Schedule</vt:lpstr>
      <vt:lpstr>Drivers, Assumptions, Analysis</vt:lpstr>
      <vt:lpstr>Valuation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tkyw</cp:lastModifiedBy>
  <cp:revision/>
  <dcterms:created xsi:type="dcterms:W3CDTF">2024-08-05T05:02:51Z</dcterms:created>
  <dcterms:modified xsi:type="dcterms:W3CDTF">2024-09-03T14:58:00Z</dcterms:modified>
  <cp:category/>
  <cp:contentStatus/>
</cp:coreProperties>
</file>